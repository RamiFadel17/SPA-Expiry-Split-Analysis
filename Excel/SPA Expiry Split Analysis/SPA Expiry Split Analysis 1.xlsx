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tables/table7.xml" ContentType="application/vnd.openxmlformats-officedocument.spreadsheetml.table+xml"/>
  <Override PartName="/xl/queryTables/queryTable4.xml" ContentType="application/vnd.openxmlformats-officedocument.spreadsheetml.queryTable+xml"/>
  <Override PartName="/xl/tables/table8.xml" ContentType="application/vnd.openxmlformats-officedocument.spreadsheetml.table+xml"/>
  <Override PartName="/xl/tables/table9.xml" ContentType="application/vnd.openxmlformats-officedocument.spreadsheetml.table+xml"/>
  <Override PartName="/xl/queryTables/queryTable5.xml" ContentType="application/vnd.openxmlformats-officedocument.spreadsheetml.queryTable+xml"/>
  <Override PartName="/xl/tables/table10.xml" ContentType="application/vnd.openxmlformats-officedocument.spreadsheetml.table+xml"/>
  <Override PartName="/xl/tables/table11.xml" ContentType="application/vnd.openxmlformats-officedocument.spreadsheetml.table+xml"/>
  <Override PartName="/xl/queryTables/queryTable6.xml" ContentType="application/vnd.openxmlformats-officedocument.spreadsheetml.queryTable+xml"/>
  <Override PartName="/xl/tables/table12.xml" ContentType="application/vnd.openxmlformats-officedocument.spreadsheetml.table+xml"/>
  <Override PartName="/xl/queryTables/queryTable7.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3.xml" ContentType="application/vnd.openxmlformats-officedocument.spreadsheetml.table+xml"/>
  <Override PartName="/xl/queryTables/queryTable8.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https://d.docs.live.net/9e1bcde4dac99ac2/Desktop/Portfolio project/SPA Expiry Split Analysis/Excel/SPA Expiry Split Analysis/"/>
    </mc:Choice>
  </mc:AlternateContent>
  <xr:revisionPtr revIDLastSave="0" documentId="8_{512AABB5-416B-421D-A338-E52B9EBB7143}" xr6:coauthVersionLast="47" xr6:coauthVersionMax="47" xr10:uidLastSave="{00000000-0000-0000-0000-000000000000}"/>
  <bookViews>
    <workbookView xWindow="-98" yWindow="-98" windowWidth="23236" windowHeight="13875" tabRatio="713" firstSheet="2" activeTab="2" xr2:uid="{6AB4BB4B-2587-4D64-818A-343CC31E6A20}"/>
  </bookViews>
  <sheets>
    <sheet name="READ ME Business Rules" sheetId="1" r:id="rId1"/>
    <sheet name="tbl_SPA_Lines" sheetId="8" r:id="rId2"/>
    <sheet name="spa_lines" sheetId="2" r:id="rId3"/>
    <sheet name="tbl_SPA_Customers" sheetId="9" r:id="rId4"/>
    <sheet name="SPA Customers" sheetId="3" r:id="rId5"/>
    <sheet name="tbl_Customer_Master" sheetId="10" r:id="rId6"/>
    <sheet name="Customer Master" sheetId="5" r:id="rId7"/>
    <sheet name="tbl_Material_Master" sheetId="11" r:id="rId8"/>
    <sheet name="Material Master" sheetId="6" r:id="rId9"/>
    <sheet name="tbl_Customer_Pricing" sheetId="12" r:id="rId10"/>
    <sheet name="Customer Pricing" sheetId="4" r:id="rId11"/>
    <sheet name="Analysis Base" sheetId="7" r:id="rId12"/>
    <sheet name="Agreement Summary" sheetId="16" r:id="rId13"/>
    <sheet name="Dashboard" sheetId="15" r:id="rId14"/>
    <sheet name="Final Analysis" sheetId="13" r:id="rId15"/>
  </sheets>
  <definedNames>
    <definedName name="ExternalData_1" localSheetId="12" hidden="1">'Agreement Summary'!$A$1:$F$4</definedName>
    <definedName name="ExternalData_1" localSheetId="5" hidden="1">tbl_Customer_Master!$A$1:$C$5</definedName>
    <definedName name="ExternalData_1" localSheetId="9" hidden="1">tbl_Customer_Pricing!$A$1:$I$19</definedName>
    <definedName name="ExternalData_1" localSheetId="7" hidden="1">tbl_Material_Master!$A$1:$G$7</definedName>
    <definedName name="ExternalData_1" localSheetId="3" hidden="1">tbl_SPA_Customers!$A$1:$B$8</definedName>
    <definedName name="ExternalData_1" localSheetId="1" hidden="1">tbl_SPA_Lines!$A$1:$G$9</definedName>
    <definedName name="ExternalData_2" localSheetId="11" hidden="1">'Analysis Base'!$A$1:$AI$21</definedName>
    <definedName name="ExternalData_3" localSheetId="14" hidden="1">'Final Analysis'!$A$1:$AL$21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1" i="15" l="1"/>
  <c r="K10" i="15"/>
  <c r="K9" i="15"/>
  <c r="K8" i="15"/>
  <c r="C8" i="15"/>
  <c r="C9" i="15"/>
  <c r="C10" i="15"/>
  <c r="J3" i="15"/>
  <c r="B3" i="15"/>
  <c r="D3" i="15"/>
  <c r="F3" i="15"/>
  <c r="H3"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9C0606-D4E2-4256-ABA2-AC73E8880636}" keepAlive="1" name="Query - Agreement_Summary" description="Connection to the 'Agreement_Summary' query in the workbook." type="5" refreshedVersion="7" background="1" saveData="1">
    <dbPr connection="Provider=Microsoft.Mashup.OleDb.1;Data Source=$Workbook$;Location=Agreement_Summary;Extended Properties=&quot;&quot;" command="SELECT * FROM [Agreement_Summary]"/>
  </connection>
  <connection id="2" xr16:uid="{30996D13-8F16-419F-853B-B5FA428D5D55}" keepAlive="1" name="Query - Analysis_Base_Query" description="Connection to the 'Analysis_Base_Query' query in the workbook." type="5" refreshedVersion="7" background="1" saveData="1">
    <dbPr connection="Provider=Microsoft.Mashup.OleDb.1;Data Source=$Workbook$;Location=Analysis_Base_Query;Extended Properties=&quot;&quot;" command="SELECT * FROM [Analysis_Base_Query]"/>
  </connection>
  <connection id="3" xr16:uid="{869639D0-E6A7-4B1F-895A-E1840699EB97}" keepAlive="1" name="Query - Customer_Summary" description="Connection to the 'Customer_Summary' query in the workbook." type="5" refreshedVersion="0" background="1">
    <dbPr connection="Provider=Microsoft.Mashup.OleDb.1;Data Source=$Workbook$;Location=Customer_Summary;Extended Properties=&quot;&quot;" command="SELECT * FROM [Customer_Summary]"/>
  </connection>
  <connection id="4" xr16:uid="{E887AF7D-4A1A-4245-AD9C-E7781288D1C3}" keepAlive="1" name="Query - Final_Analysis" description="Connection to the 'Final_Analysis' query in the workbook." type="5" refreshedVersion="7" background="1" saveData="1">
    <dbPr connection="Provider=Microsoft.Mashup.OleDb.1;Data Source=$Workbook$;Location=Final_Analysis;Extended Properties=&quot;&quot;" command="SELECT * FROM [Final_Analysis]"/>
  </connection>
  <connection id="5" xr16:uid="{85EA056C-BF98-4FF6-92DB-BF85E485EB07}" keepAlive="1" name="Query - Material_Summary" description="Connection to the 'Material_Summary' query in the workbook." type="5" refreshedVersion="0" background="1">
    <dbPr connection="Provider=Microsoft.Mashup.OleDb.1;Data Source=$Workbook$;Location=Material_Summary;Extended Properties=&quot;&quot;" command="SELECT * FROM [Material_Summary]"/>
  </connection>
  <connection id="6" xr16:uid="{6B1D1A59-43E5-4FF9-9DD7-83A98CA9B4F1}" keepAlive="1" name="Query - tbl_Customer_Master" description="Connection to the 'tbl_Customer_Master' query in the workbook." type="5" refreshedVersion="7" background="1" saveData="1">
    <dbPr connection="Provider=Microsoft.Mashup.OleDb.1;Data Source=$Workbook$;Location=tbl_Customer_Master;Extended Properties=&quot;&quot;" command="SELECT * FROM [tbl_Customer_Master]"/>
  </connection>
  <connection id="7" xr16:uid="{D7A36252-796D-4FAA-81CA-F20C5ABCC743}" keepAlive="1" name="Query - tbl_Customer_Pricing" description="Connection to the 'tbl_Customer_Pricing' query in the workbook." type="5" refreshedVersion="7" background="1" saveData="1">
    <dbPr connection="Provider=Microsoft.Mashup.OleDb.1;Data Source=$Workbook$;Location=tbl_Customer_Pricing;Extended Properties=&quot;&quot;" command="SELECT * FROM [tbl_Customer_Pricing]"/>
  </connection>
  <connection id="8" xr16:uid="{81BCD7F1-9B8F-4521-9CF9-60A45D7C54D0}" keepAlive="1" name="Query - tbl_Material_Master" description="Connection to the 'tbl_Material_Master' query in the workbook." type="5" refreshedVersion="7" background="1" saveData="1">
    <dbPr connection="Provider=Microsoft.Mashup.OleDb.1;Data Source=$Workbook$;Location=tbl_Material_Master;Extended Properties=&quot;&quot;" command="SELECT * FROM [tbl_Material_Master]"/>
  </connection>
  <connection id="9" xr16:uid="{69B27AE1-A444-4884-93C3-183E5E167829}" keepAlive="1" name="Query - tbl_SPA_Customers" description="Connection to the 'tbl_SPA_Customers' query in the workbook." type="5" refreshedVersion="7" background="1" saveData="1">
    <dbPr connection="Provider=Microsoft.Mashup.OleDb.1;Data Source=$Workbook$;Location=tbl_SPA_Customers;Extended Properties=&quot;&quot;" command="SELECT * FROM [tbl_SPA_Customers]"/>
  </connection>
  <connection id="10" xr16:uid="{FA316438-2582-4589-88D9-668D993AA6CA}" keepAlive="1" name="Query - tbl_SPA_Lines" description="Connection to the 'tbl_SPA_Lines' query in the workbook." type="5" refreshedVersion="7" background="1" saveData="1">
    <dbPr connection="Provider=Microsoft.Mashup.OleDb.1;Data Source=$Workbook$;Location=tbl_SPA_Lines;Extended Properties=&quot;&quot;" command="SELECT * FROM [tbl_SPA_Lines]"/>
  </connection>
</connections>
</file>

<file path=xl/sharedStrings.xml><?xml version="1.0" encoding="utf-8"?>
<sst xmlns="http://schemas.openxmlformats.org/spreadsheetml/2006/main" count="1087" uniqueCount="115">
  <si>
    <t>SPA Expiry &amp; Split Analysis Tool</t>
  </si>
  <si>
    <t>Automated Pricing Agreement Review &amp; Margin Exception Analysis</t>
  </si>
  <si>
    <t>B2B customers may receive Special Pricing Agreements (SPAs) covering multiple customers and materials. During expiry review, each SPA price must be compared against the customer's applicable into-stock price. Because shared agreements may contain many customers with different pricing levels, an item can only be removed when no associated customer still benefits from the SPA price. Agreements may therefore need to be kept, partially split by item or customer, or completely removed.</t>
  </si>
  <si>
    <t>Business Problem</t>
  </si>
  <si>
    <t>Pricing Hierarchy</t>
  </si>
  <si>
    <t>Material Rule</t>
  </si>
  <si>
    <t>Customer Material Rule</t>
  </si>
  <si>
    <t>SPA Price &gt; Into-Stock Price → No SPA Benefit
SPA Price &lt;= Into-Stock Price → SPA Benefit / Keep</t>
  </si>
  <si>
    <t>At least one customer benefits → Keep material in SPA
No customers benefit → Remove material from SPA</t>
  </si>
  <si>
    <t>Customer Rule</t>
  </si>
  <si>
    <t>At least one material benefits customer → Keep customer in SPA
No materials benefit customer → Remove customer from SPA</t>
  </si>
  <si>
    <t xml:space="preserve">Agreement Rule </t>
  </si>
  <si>
    <t>Everything required → Keep SPA
Some customers/materials required and some unnecessary → Split / Update SPA
No customers/materials require SPA pricing  → Delete SPA</t>
  </si>
  <si>
    <t>Agreement_ID</t>
  </si>
  <si>
    <t>SPA_Price</t>
  </si>
  <si>
    <t>Customer_ID</t>
  </si>
  <si>
    <t>Region</t>
  </si>
  <si>
    <t>Material_ID</t>
  </si>
  <si>
    <t>Material_Group</t>
  </si>
  <si>
    <t>1. Item Level Price
↓ if unavailable
2. MG2 Multiplier × Stock Price
↓ if unavailable
3. MPG Multiplier × Stock Price
↓ if unavailable
4. Book Price
↓ if unavailable
5. Stock Price — fallback</t>
  </si>
  <si>
    <t>Start_Date</t>
  </si>
  <si>
    <t>End_Date</t>
  </si>
  <si>
    <t>Customer_Name</t>
  </si>
  <si>
    <t>Material_Description</t>
  </si>
  <si>
    <t>Unit_Cost</t>
  </si>
  <si>
    <t>Stock_Price</t>
  </si>
  <si>
    <t>Item_Price</t>
  </si>
  <si>
    <t>MG2_Multiplier</t>
  </si>
  <si>
    <t>MPG_Multiplier</t>
  </si>
  <si>
    <t>Book_Price</t>
  </si>
  <si>
    <t>Currency</t>
  </si>
  <si>
    <t>Pricing_Level</t>
  </si>
  <si>
    <t>CUST-001</t>
  </si>
  <si>
    <t>CUST-002</t>
  </si>
  <si>
    <t>CUST-003</t>
  </si>
  <si>
    <t>CUST-004</t>
  </si>
  <si>
    <t>Apex Industrial Supply</t>
  </si>
  <si>
    <t>Northern Controls Ltd.</t>
  </si>
  <si>
    <t>Summit Electrical Group</t>
  </si>
  <si>
    <t>Atlantic Automation Inc.</t>
  </si>
  <si>
    <t>Quebec</t>
  </si>
  <si>
    <t>Ontario</t>
  </si>
  <si>
    <t>Alberta</t>
  </si>
  <si>
    <t>Nova Scotia</t>
  </si>
  <si>
    <t>MAT-001</t>
  </si>
  <si>
    <t>Industrial Relay</t>
  </si>
  <si>
    <t>Control Components</t>
  </si>
  <si>
    <t>CAD</t>
  </si>
  <si>
    <t>MAT-002</t>
  </si>
  <si>
    <t>Motor Starter</t>
  </si>
  <si>
    <t>Motor Control</t>
  </si>
  <si>
    <t>MAT-003</t>
  </si>
  <si>
    <t>Circuit Protection Unit</t>
  </si>
  <si>
    <t>Electrical Protection</t>
  </si>
  <si>
    <t>MAT-004</t>
  </si>
  <si>
    <t>Control Transformer</t>
  </si>
  <si>
    <t>Power Components</t>
  </si>
  <si>
    <t>MAT-005</t>
  </si>
  <si>
    <t>Industrial Sensor</t>
  </si>
  <si>
    <t>Automation</t>
  </si>
  <si>
    <t>MAT-006</t>
  </si>
  <si>
    <t>Disconnect Switch</t>
  </si>
  <si>
    <t>SPA-1001</t>
  </si>
  <si>
    <t>SPA-1002</t>
  </si>
  <si>
    <t>SPA-1003</t>
  </si>
  <si>
    <t>Price_Unit</t>
  </si>
  <si>
    <t>ITEM</t>
  </si>
  <si>
    <t>MG2</t>
  </si>
  <si>
    <t>MPG</t>
  </si>
  <si>
    <t>BOOK</t>
  </si>
  <si>
    <t>SPA_Price_Unit</t>
  </si>
  <si>
    <t>SPA_Currency</t>
  </si>
  <si>
    <t>Material_Price_Unit</t>
  </si>
  <si>
    <t>Material_Currency</t>
  </si>
  <si>
    <t>Pricing.Currency</t>
  </si>
  <si>
    <t>Pricing_Price_Unit</t>
  </si>
  <si>
    <t>Into_Stock_Price</t>
  </si>
  <si>
    <t>SPA_Benefit</t>
  </si>
  <si>
    <t>Price_Difference</t>
  </si>
  <si>
    <t>SPA_Margin_Percent</t>
  </si>
  <si>
    <t>Margin_Flag</t>
  </si>
  <si>
    <t>Benefit_Flag</t>
  </si>
  <si>
    <t>NO SPA BENEFIT</t>
  </si>
  <si>
    <t>OK</t>
  </si>
  <si>
    <t>SPA BENEFIT</t>
  </si>
  <si>
    <t>Material_Action</t>
  </si>
  <si>
    <t>Customer_Action</t>
  </si>
  <si>
    <t>Agreement_Action</t>
  </si>
  <si>
    <t>KEEP MATERIAL</t>
  </si>
  <si>
    <t>KEEP CUSTOMER</t>
  </si>
  <si>
    <t>SPLIT / UPDATE SPA</t>
  </si>
  <si>
    <t>REMOVE MATERIAL</t>
  </si>
  <si>
    <t>REMOVE CUSTOMER</t>
  </si>
  <si>
    <t>DELETE SPA</t>
  </si>
  <si>
    <t>KEEP AS IS</t>
  </si>
  <si>
    <t>SPA_Unit_Price</t>
  </si>
  <si>
    <t>Into_Stock_Unit_Price</t>
  </si>
  <si>
    <t>Days_To_Expiry</t>
  </si>
  <si>
    <t>Expiry_Status</t>
  </si>
  <si>
    <t>Expiry_Flag</t>
  </si>
  <si>
    <t>ACTIVE</t>
  </si>
  <si>
    <t>EXPIRING &lt;=90 DAYS</t>
  </si>
  <si>
    <t>EXPIRED</t>
  </si>
  <si>
    <t>NEGATIVE MARGIN</t>
  </si>
  <si>
    <t>Review_Flag</t>
  </si>
  <si>
    <t>Evaluation_Count</t>
  </si>
  <si>
    <t>Benefit_Count</t>
  </si>
  <si>
    <t>TOTAL SPAs</t>
  </si>
  <si>
    <t>SPLIT / UPDATE</t>
  </si>
  <si>
    <t>SPA Expiry &amp; Split Analysis Dashboard</t>
  </si>
  <si>
    <t>REVIEW EXCEPTIONS</t>
  </si>
  <si>
    <t>Agreement Action</t>
  </si>
  <si>
    <t>Count</t>
  </si>
  <si>
    <t>Expiry Status</t>
  </si>
  <si>
    <t>EXPIRING &lt;=30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</si>
</sst>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1"/>
      <color theme="1"/>
      <name val="Calibri"/>
      <family val="2"/>
      <scheme val="minor"/>
    </font>
    <font>
      <b/>
      <sz val="11"/>
      <color theme="1"/>
      <name val="Calibri"/>
      <family val="2"/>
      <scheme val="minor"/>
    </font>
    <font>
      <b/>
      <sz val="16"/>
      <color theme="1"/>
      <name val="Calibri"/>
      <family val="2"/>
      <scheme val="minor"/>
    </font>
    <font>
      <sz val="14"/>
      <color theme="1"/>
      <name val="Calibri"/>
      <family val="2"/>
      <scheme val="minor"/>
    </font>
    <font>
      <b/>
      <sz val="14"/>
      <color theme="1"/>
      <name val="Calibri"/>
      <family val="2"/>
      <scheme val="minor"/>
    </font>
    <font>
      <sz val="8"/>
      <name val="Calibri"/>
      <family val="2"/>
      <scheme val="minor"/>
    </font>
    <font>
      <sz val="10"/>
      <color theme="1"/>
      <name val="Arial Unicode MS"/>
    </font>
    <font>
      <b/>
      <sz val="24"/>
      <color theme="1"/>
      <name val="Calibri"/>
      <family val="2"/>
      <scheme val="minor"/>
    </font>
    <font>
      <sz val="24"/>
      <color theme="1"/>
      <name val="Arial Unicode MS"/>
    </font>
    <font>
      <sz val="24"/>
      <color theme="1"/>
      <name val="Calibri"/>
      <family val="2"/>
      <scheme val="minor"/>
    </font>
    <font>
      <b/>
      <sz val="11"/>
      <color theme="1"/>
      <name val="Arial Unicode MS"/>
    </font>
  </fonts>
  <fills count="3">
    <fill>
      <patternFill patternType="none"/>
    </fill>
    <fill>
      <patternFill patternType="gray125"/>
    </fill>
    <fill>
      <patternFill patternType="solid">
        <fgColor theme="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35">
    <xf numFmtId="0" fontId="0" fillId="0" borderId="0" xfId="0"/>
    <xf numFmtId="0" fontId="3" fillId="0" borderId="0" xfId="0" applyFont="1"/>
    <xf numFmtId="0" fontId="4" fillId="0" borderId="0" xfId="0" applyFont="1" applyAlignment="1">
      <alignment wrapText="1"/>
    </xf>
    <xf numFmtId="0" fontId="4" fillId="0" borderId="0" xfId="0" applyFont="1"/>
    <xf numFmtId="0" fontId="5" fillId="0" borderId="0" xfId="0" applyFont="1"/>
    <xf numFmtId="0" fontId="0" fillId="2" borderId="0" xfId="0" applyFill="1"/>
    <xf numFmtId="0" fontId="2" fillId="0" borderId="0" xfId="0" applyFont="1"/>
    <xf numFmtId="0" fontId="5" fillId="0" borderId="0" xfId="0" applyFont="1" applyAlignment="1">
      <alignment horizontal="left" vertical="top"/>
    </xf>
    <xf numFmtId="0" fontId="4" fillId="0" borderId="0" xfId="0" applyFont="1" applyAlignment="1">
      <alignment vertical="center" wrapText="1"/>
    </xf>
    <xf numFmtId="0" fontId="0" fillId="0" borderId="0" xfId="0" applyAlignment="1">
      <alignment vertical="center" wrapText="1"/>
    </xf>
    <xf numFmtId="0" fontId="0" fillId="0" borderId="0" xfId="0" applyAlignment="1">
      <alignment horizontal="center" vertical="center" wrapText="1"/>
    </xf>
    <xf numFmtId="0" fontId="2" fillId="0" borderId="0" xfId="0" applyFont="1" applyAlignment="1">
      <alignment horizontal="center" vertical="center" wrapText="1"/>
    </xf>
    <xf numFmtId="0" fontId="0" fillId="0" borderId="0" xfId="0" applyAlignment="1">
      <alignment horizontal="right" vertical="center" wrapText="1"/>
    </xf>
    <xf numFmtId="14" fontId="0" fillId="0" borderId="0" xfId="0" applyNumberFormat="1"/>
    <xf numFmtId="0" fontId="4" fillId="0" borderId="0" xfId="0" applyFont="1" applyAlignment="1">
      <alignment horizontal="center"/>
    </xf>
    <xf numFmtId="14" fontId="0" fillId="0" borderId="0" xfId="0" applyNumberFormat="1" applyAlignment="1">
      <alignment horizontal="center" vertical="center" wrapText="1"/>
    </xf>
    <xf numFmtId="0" fontId="0" fillId="0" borderId="0" xfId="0" applyAlignment="1">
      <alignment horizontal="center"/>
    </xf>
    <xf numFmtId="22" fontId="0" fillId="0" borderId="0" xfId="0" applyNumberFormat="1"/>
    <xf numFmtId="10" fontId="0" fillId="0" borderId="0" xfId="1" applyNumberFormat="1" applyFont="1"/>
    <xf numFmtId="14" fontId="0" fillId="0" borderId="0" xfId="0" applyNumberFormat="1" applyAlignment="1">
      <alignment horizontal="center"/>
    </xf>
    <xf numFmtId="0" fontId="2" fillId="0" borderId="0" xfId="0" applyFont="1" applyAlignment="1">
      <alignment vertical="center" wrapText="1"/>
    </xf>
    <xf numFmtId="0" fontId="8" fillId="0" borderId="0" xfId="0" applyFont="1" applyAlignment="1">
      <alignment vertical="center" wrapText="1"/>
    </xf>
    <xf numFmtId="0" fontId="10" fillId="0" borderId="0" xfId="0" applyFont="1"/>
    <xf numFmtId="0" fontId="2" fillId="0" borderId="3" xfId="0" applyFont="1" applyBorder="1" applyAlignment="1">
      <alignment horizontal="center"/>
    </xf>
    <xf numFmtId="0" fontId="9" fillId="0" borderId="5" xfId="0" applyFont="1" applyBorder="1" applyAlignment="1">
      <alignment horizontal="center" vertical="center" wrapText="1"/>
    </xf>
    <xf numFmtId="0" fontId="10" fillId="0" borderId="6" xfId="0" applyFont="1" applyBorder="1" applyAlignment="1">
      <alignment horizontal="center"/>
    </xf>
    <xf numFmtId="0" fontId="9" fillId="0" borderId="6"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4" xfId="0" applyFont="1" applyBorder="1" applyAlignment="1">
      <alignment horizontal="center" vertical="center" wrapText="1"/>
    </xf>
    <xf numFmtId="0" fontId="10" fillId="0" borderId="7" xfId="0" applyFont="1" applyBorder="1" applyAlignment="1">
      <alignment horizontal="center"/>
    </xf>
    <xf numFmtId="0" fontId="0" fillId="0" borderId="1" xfId="0" applyBorder="1" applyAlignment="1">
      <alignment horizontal="center" vertical="center" wrapText="1"/>
    </xf>
    <xf numFmtId="0" fontId="2" fillId="0" borderId="1" xfId="0" applyFont="1" applyBorder="1" applyAlignment="1">
      <alignment horizontal="center" vertical="center" wrapText="1"/>
    </xf>
    <xf numFmtId="0" fontId="7" fillId="0" borderId="1" xfId="0" applyFont="1" applyBorder="1" applyAlignment="1">
      <alignment horizontal="center" vertical="center" wrapText="1"/>
    </xf>
    <xf numFmtId="0" fontId="5" fillId="0" borderId="6" xfId="0" applyFont="1" applyBorder="1" applyAlignment="1">
      <alignment horizontal="center" vertical="center" wrapText="1"/>
    </xf>
  </cellXfs>
  <cellStyles count="2">
    <cellStyle name="Normal" xfId="0" builtinId="0"/>
    <cellStyle name="Percent" xfId="1" builtinId="5"/>
  </cellStyles>
  <dxfs count="81">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4"/>
        <color theme="1"/>
        <name val="Calibri"/>
        <family val="2"/>
        <scheme val="minor"/>
      </font>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4"/>
        <color theme="1"/>
        <name val="Calibri"/>
        <family val="2"/>
        <scheme val="minor"/>
      </font>
    </dxf>
    <dxf>
      <numFmt numFmtId="0" formatCode="General"/>
    </dxf>
    <dxf>
      <numFmt numFmtId="0" formatCode="General"/>
    </dxf>
    <dxf>
      <numFmt numFmtId="0" formatCode="General"/>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4"/>
        <color theme="1"/>
        <name val="Calibri"/>
        <family val="2"/>
        <scheme val="minor"/>
      </font>
      <alignment horizontal="center" textRotation="0" indent="0" justifyLastLine="0" shrinkToFit="0" readingOrder="0"/>
    </dxf>
    <dxf>
      <numFmt numFmtId="0" formatCode="General"/>
    </dxf>
    <dxf>
      <numFmt numFmtId="0" formatCode="General"/>
    </dxf>
    <dxf>
      <alignment horizontal="center" vertical="center" textRotation="0" wrapText="1" indent="0" justifyLastLine="0" shrinkToFit="0" readingOrder="0"/>
    </dxf>
    <dxf>
      <alignment horizontal="center" vertical="center" textRotation="0" wrapText="1" indent="0" justifyLastLine="0" shrinkToFit="0" readingOrder="0"/>
    </dxf>
    <dxf>
      <numFmt numFmtId="19" formatCode="m/d/yyyy"/>
      <alignment horizontal="center" vertical="center" textRotation="0" wrapText="1" indent="0" justifyLastLine="0" shrinkToFit="0" readingOrder="0"/>
    </dxf>
    <dxf>
      <numFmt numFmtId="19" formatCode="m/d/yyyy"/>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dxf>
    <dxf>
      <numFmt numFmtId="0" formatCode="General"/>
    </dxf>
    <dxf>
      <numFmt numFmtId="27" formatCode="m/d/yyyy\ h:mm"/>
    </dxf>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w="25400">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0.10344203849518811"/>
          <c:y val="7.1724628171478552E-2"/>
          <c:w val="0.89655796150481193"/>
          <c:h val="0.8416746864975212"/>
        </c:manualLayout>
      </c:layout>
      <c:bar3DChart>
        <c:barDir val="col"/>
        <c:grouping val="clustered"/>
        <c:varyColors val="0"/>
        <c:ser>
          <c:idx val="0"/>
          <c:order val="0"/>
          <c:tx>
            <c:strRef>
              <c:f>Dashboard!$C$7</c:f>
              <c:strCache>
                <c:ptCount val="1"/>
                <c:pt idx="0">
                  <c:v>Count</c:v>
                </c:pt>
              </c:strCache>
            </c:strRef>
          </c:tx>
          <c:spPr>
            <a:solidFill>
              <a:schemeClr val="accent1"/>
            </a:solidFill>
            <a:ln>
              <a:noFill/>
            </a:ln>
            <a:effectLst/>
            <a:sp3d/>
          </c:spPr>
          <c:invertIfNegative val="0"/>
          <c:cat>
            <c:strRef>
              <c:f>Dashboard!$B$8:$B$10</c:f>
              <c:strCache>
                <c:ptCount val="3"/>
                <c:pt idx="0">
                  <c:v>KEEP AS IS</c:v>
                </c:pt>
                <c:pt idx="1">
                  <c:v>SPLIT / UPDATE SPA</c:v>
                </c:pt>
                <c:pt idx="2">
                  <c:v>DELETE SPA</c:v>
                </c:pt>
              </c:strCache>
            </c:strRef>
          </c:cat>
          <c:val>
            <c:numRef>
              <c:f>Dashboard!$C$8:$C$10</c:f>
              <c:numCache>
                <c:formatCode>General</c:formatCode>
                <c:ptCount val="3"/>
                <c:pt idx="0">
                  <c:v>1</c:v>
                </c:pt>
                <c:pt idx="1">
                  <c:v>1</c:v>
                </c:pt>
                <c:pt idx="2">
                  <c:v>1</c:v>
                </c:pt>
              </c:numCache>
            </c:numRef>
          </c:val>
          <c:extLst>
            <c:ext xmlns:c16="http://schemas.microsoft.com/office/drawing/2014/chart" uri="{C3380CC4-5D6E-409C-BE32-E72D297353CC}">
              <c16:uniqueId val="{00000000-9531-4C50-A09B-E093F4735045}"/>
            </c:ext>
          </c:extLst>
        </c:ser>
        <c:dLbls>
          <c:showLegendKey val="0"/>
          <c:showVal val="0"/>
          <c:showCatName val="0"/>
          <c:showSerName val="0"/>
          <c:showPercent val="0"/>
          <c:showBubbleSize val="0"/>
        </c:dLbls>
        <c:gapWidth val="150"/>
        <c:shape val="box"/>
        <c:axId val="670976336"/>
        <c:axId val="670978064"/>
        <c:axId val="0"/>
      </c:bar3DChart>
      <c:catAx>
        <c:axId val="670976336"/>
        <c:scaling>
          <c:orientation val="minMax"/>
        </c:scaling>
        <c:delete val="1"/>
        <c:axPos val="b"/>
        <c:numFmt formatCode="General" sourceLinked="1"/>
        <c:majorTickMark val="none"/>
        <c:minorTickMark val="none"/>
        <c:tickLblPos val="nextTo"/>
        <c:crossAx val="670978064"/>
        <c:crosses val="autoZero"/>
        <c:auto val="1"/>
        <c:lblAlgn val="ctr"/>
        <c:lblOffset val="100"/>
        <c:noMultiLvlLbl val="0"/>
      </c:catAx>
      <c:valAx>
        <c:axId val="670978064"/>
        <c:scaling>
          <c:orientation val="minMax"/>
        </c:scaling>
        <c:delete val="1"/>
        <c:axPos val="l"/>
        <c:numFmt formatCode="General" sourceLinked="1"/>
        <c:majorTickMark val="none"/>
        <c:minorTickMark val="none"/>
        <c:tickLblPos val="nextTo"/>
        <c:crossAx val="67097633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i="0" baseline="0">
                <a:effectLst/>
              </a:rPr>
              <a:t>SPA Review Recommendations</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Dashboard!$C$7</c:f>
              <c:strCache>
                <c:ptCount val="1"/>
                <c:pt idx="0">
                  <c:v>Count</c:v>
                </c:pt>
              </c:strCache>
            </c:strRef>
          </c:tx>
          <c:spPr>
            <a:solidFill>
              <a:schemeClr val="accent1"/>
            </a:solidFill>
            <a:ln>
              <a:noFill/>
            </a:ln>
            <a:effectLst/>
          </c:spPr>
          <c:invertIfNegative val="0"/>
          <c:cat>
            <c:strRef>
              <c:f>Dashboard!$B$8:$B$10</c:f>
              <c:strCache>
                <c:ptCount val="3"/>
                <c:pt idx="0">
                  <c:v>KEEP AS IS</c:v>
                </c:pt>
                <c:pt idx="1">
                  <c:v>SPLIT / UPDATE SPA</c:v>
                </c:pt>
                <c:pt idx="2">
                  <c:v>DELETE SPA</c:v>
                </c:pt>
              </c:strCache>
            </c:strRef>
          </c:cat>
          <c:val>
            <c:numRef>
              <c:f>Dashboard!$C$8:$C$10</c:f>
              <c:numCache>
                <c:formatCode>General</c:formatCode>
                <c:ptCount val="3"/>
                <c:pt idx="0">
                  <c:v>1</c:v>
                </c:pt>
                <c:pt idx="1">
                  <c:v>1</c:v>
                </c:pt>
                <c:pt idx="2">
                  <c:v>1</c:v>
                </c:pt>
              </c:numCache>
            </c:numRef>
          </c:val>
          <c:extLst>
            <c:ext xmlns:c16="http://schemas.microsoft.com/office/drawing/2014/chart" uri="{C3380CC4-5D6E-409C-BE32-E72D297353CC}">
              <c16:uniqueId val="{00000000-D2DC-4AB4-B734-EE4D274E1CE4}"/>
            </c:ext>
          </c:extLst>
        </c:ser>
        <c:dLbls>
          <c:showLegendKey val="0"/>
          <c:showVal val="0"/>
          <c:showCatName val="0"/>
          <c:showSerName val="0"/>
          <c:showPercent val="0"/>
          <c:showBubbleSize val="0"/>
        </c:dLbls>
        <c:gapWidth val="219"/>
        <c:overlap val="-27"/>
        <c:axId val="521262976"/>
        <c:axId val="521265568"/>
      </c:barChart>
      <c:catAx>
        <c:axId val="52126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265568"/>
        <c:crosses val="autoZero"/>
        <c:auto val="1"/>
        <c:lblAlgn val="ctr"/>
        <c:lblOffset val="100"/>
        <c:noMultiLvlLbl val="0"/>
      </c:catAx>
      <c:valAx>
        <c:axId val="521265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262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SPA Expiry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Dashboard!$K$7</c:f>
              <c:strCache>
                <c:ptCount val="1"/>
                <c:pt idx="0">
                  <c:v>Count</c:v>
                </c:pt>
              </c:strCache>
            </c:strRef>
          </c:tx>
          <c:spPr>
            <a:solidFill>
              <a:schemeClr val="accent1"/>
            </a:solidFill>
            <a:ln>
              <a:noFill/>
            </a:ln>
            <a:effectLst/>
          </c:spPr>
          <c:invertIfNegative val="0"/>
          <c:cat>
            <c:strRef>
              <c:f>Dashboard!$J$8:$J$11</c:f>
              <c:strCache>
                <c:ptCount val="4"/>
                <c:pt idx="0">
                  <c:v>ACTIVE</c:v>
                </c:pt>
                <c:pt idx="1">
                  <c:v>EXPIRING &lt;=90 DAYS</c:v>
                </c:pt>
                <c:pt idx="2">
                  <c:v>EXPIRING &lt;=30 DAYS</c:v>
                </c:pt>
                <c:pt idx="3">
                  <c:v>EXPIRED</c:v>
                </c:pt>
              </c:strCache>
            </c:strRef>
          </c:cat>
          <c:val>
            <c:numRef>
              <c:f>Dashboard!$K$8:$K$11</c:f>
              <c:numCache>
                <c:formatCode>General</c:formatCode>
                <c:ptCount val="4"/>
                <c:pt idx="0">
                  <c:v>2</c:v>
                </c:pt>
                <c:pt idx="1">
                  <c:v>0</c:v>
                </c:pt>
                <c:pt idx="2">
                  <c:v>0</c:v>
                </c:pt>
                <c:pt idx="3">
                  <c:v>1</c:v>
                </c:pt>
              </c:numCache>
            </c:numRef>
          </c:val>
          <c:extLst>
            <c:ext xmlns:c16="http://schemas.microsoft.com/office/drawing/2014/chart" uri="{C3380CC4-5D6E-409C-BE32-E72D297353CC}">
              <c16:uniqueId val="{00000000-1A18-4BEA-861B-C74EB991F0C1}"/>
            </c:ext>
          </c:extLst>
        </c:ser>
        <c:dLbls>
          <c:showLegendKey val="0"/>
          <c:showVal val="0"/>
          <c:showCatName val="0"/>
          <c:showSerName val="0"/>
          <c:showPercent val="0"/>
          <c:showBubbleSize val="0"/>
        </c:dLbls>
        <c:gapWidth val="219"/>
        <c:overlap val="-27"/>
        <c:axId val="1977312255"/>
        <c:axId val="350554048"/>
      </c:barChart>
      <c:catAx>
        <c:axId val="197731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554048"/>
        <c:crosses val="autoZero"/>
        <c:auto val="1"/>
        <c:lblAlgn val="ctr"/>
        <c:lblOffset val="100"/>
        <c:noMultiLvlLbl val="0"/>
      </c:catAx>
      <c:valAx>
        <c:axId val="350554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312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378618</xdr:colOff>
      <xdr:row>28</xdr:row>
      <xdr:rowOff>100012</xdr:rowOff>
    </xdr:from>
    <xdr:to>
      <xdr:col>7</xdr:col>
      <xdr:colOff>954880</xdr:colOff>
      <xdr:row>43</xdr:row>
      <xdr:rowOff>128587</xdr:rowOff>
    </xdr:to>
    <xdr:graphicFrame macro="">
      <xdr:nvGraphicFramePr>
        <xdr:cNvPr id="2" name="Chart 1">
          <a:extLst>
            <a:ext uri="{FF2B5EF4-FFF2-40B4-BE49-F238E27FC236}">
              <a16:creationId xmlns:a16="http://schemas.microsoft.com/office/drawing/2014/main" id="{9D492ED9-782F-40D1-81D1-43218D0CB5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150018</xdr:colOff>
      <xdr:row>10</xdr:row>
      <xdr:rowOff>161925</xdr:rowOff>
    </xdr:from>
    <xdr:to>
      <xdr:col>5</xdr:col>
      <xdr:colOff>340518</xdr:colOff>
      <xdr:row>26</xdr:row>
      <xdr:rowOff>9525</xdr:rowOff>
    </xdr:to>
    <xdr:graphicFrame macro="">
      <xdr:nvGraphicFramePr>
        <xdr:cNvPr id="3" name="Chart 2">
          <a:extLst>
            <a:ext uri="{FF2B5EF4-FFF2-40B4-BE49-F238E27FC236}">
              <a16:creationId xmlns:a16="http://schemas.microsoft.com/office/drawing/2014/main" id="{D8EF8685-96BF-447A-9F31-0A6C2DAAF0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573879</xdr:colOff>
      <xdr:row>11</xdr:row>
      <xdr:rowOff>47624</xdr:rowOff>
    </xdr:from>
    <xdr:to>
      <xdr:col>12</xdr:col>
      <xdr:colOff>250029</xdr:colOff>
      <xdr:row>26</xdr:row>
      <xdr:rowOff>76199</xdr:rowOff>
    </xdr:to>
    <xdr:graphicFrame macro="">
      <xdr:nvGraphicFramePr>
        <xdr:cNvPr id="4" name="Chart 3">
          <a:extLst>
            <a:ext uri="{FF2B5EF4-FFF2-40B4-BE49-F238E27FC236}">
              <a16:creationId xmlns:a16="http://schemas.microsoft.com/office/drawing/2014/main" id="{C4C6F4F1-02F1-4881-8A7F-B84DE56D81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0" xr16:uid="{D8D3A0A9-06E5-40A9-88CB-972B1C649073}" autoFormatId="16" applyNumberFormats="0" applyBorderFormats="0" applyFontFormats="0" applyPatternFormats="0" applyAlignmentFormats="0" applyWidthHeightFormats="0">
  <queryTableRefresh nextId="8">
    <queryTableFields count="7">
      <queryTableField id="1" name="Agreement_ID" tableColumnId="1"/>
      <queryTableField id="2" name="Material_ID" tableColumnId="2"/>
      <queryTableField id="3" name="SPA_Price" tableColumnId="3"/>
      <queryTableField id="4" name="Start_Date" tableColumnId="4"/>
      <queryTableField id="5" name="End_Date" tableColumnId="5"/>
      <queryTableField id="6" name="Price_Unit" tableColumnId="6"/>
      <queryTableField id="7" name="Currency"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9" xr16:uid="{ABA9BF3C-50B7-44BF-B277-C80BAA59EBED}" autoFormatId="16" applyNumberFormats="0" applyBorderFormats="0" applyFontFormats="0" applyPatternFormats="0" applyAlignmentFormats="0" applyWidthHeightFormats="0">
  <queryTableRefresh nextId="3">
    <queryTableFields count="2">
      <queryTableField id="1" name="Agreement_ID" tableColumnId="1"/>
      <queryTableField id="2" name="Customer_ID"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6" xr16:uid="{4E43349D-5F48-41B2-88D2-A89CA87DEDE3}" autoFormatId="16" applyNumberFormats="0" applyBorderFormats="0" applyFontFormats="0" applyPatternFormats="0" applyAlignmentFormats="0" applyWidthHeightFormats="0">
  <queryTableRefresh nextId="4">
    <queryTableFields count="3">
      <queryTableField id="1" name="Customer_ID" tableColumnId="1"/>
      <queryTableField id="2" name="Customer_Name" tableColumnId="2"/>
      <queryTableField id="3" name="Region"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8" xr16:uid="{8B904FC7-0993-4EDD-B523-CF476F53637D}" autoFormatId="16" applyNumberFormats="0" applyBorderFormats="0" applyFontFormats="0" applyPatternFormats="0" applyAlignmentFormats="0" applyWidthHeightFormats="0">
  <queryTableRefresh nextId="8">
    <queryTableFields count="7">
      <queryTableField id="1" name="Material_ID" tableColumnId="1"/>
      <queryTableField id="2" name="Material_Description" tableColumnId="2"/>
      <queryTableField id="3" name="Material_Group" tableColumnId="3"/>
      <queryTableField id="4" name="Unit_Cost" tableColumnId="4"/>
      <queryTableField id="5" name="Stock_Price" tableColumnId="5"/>
      <queryTableField id="6" name="Price_Unit" tableColumnId="6"/>
      <queryTableField id="7" name="Currency"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7" xr16:uid="{8FFC591F-B9CD-4B31-984D-610BD9B15E41}" autoFormatId="16" applyNumberFormats="0" applyBorderFormats="0" applyFontFormats="0" applyPatternFormats="0" applyAlignmentFormats="0" applyWidthHeightFormats="0">
  <queryTableRefresh nextId="10">
    <queryTableFields count="9">
      <queryTableField id="1" name="Customer_ID" tableColumnId="1"/>
      <queryTableField id="2" name="Material_ID" tableColumnId="2"/>
      <queryTableField id="3" name="Pricing_Level" tableColumnId="3"/>
      <queryTableField id="4" name="Item_Price" tableColumnId="4"/>
      <queryTableField id="5" name="MG2_Multiplier" tableColumnId="5"/>
      <queryTableField id="6" name="MPG_Multiplier" tableColumnId="6"/>
      <queryTableField id="7" name="Book_Price" tableColumnId="7"/>
      <queryTableField id="8" name="Currency" tableColumnId="8"/>
      <queryTableField id="9" name="Price_Unit" tableColumnId="9"/>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2" xr16:uid="{AC7945D8-5CA8-40A1-BE9B-31A613052845}" autoFormatId="16" applyNumberFormats="0" applyBorderFormats="0" applyFontFormats="0" applyPatternFormats="0" applyAlignmentFormats="0" applyWidthHeightFormats="0">
  <queryTableRefresh nextId="56">
    <queryTableFields count="35">
      <queryTableField id="1" name="Agreement_ID" tableColumnId="1"/>
      <queryTableField id="2" name="Material_ID" tableColumnId="2"/>
      <queryTableField id="3" name="SPA_Price" tableColumnId="3"/>
      <queryTableField id="4" name="Start_Date" tableColumnId="4"/>
      <queryTableField id="5" name="End_Date" tableColumnId="5"/>
      <queryTableField id="24" name="SPA_Price_Unit" tableColumnId="24"/>
      <queryTableField id="25" name="SPA_Currency" tableColumnId="25"/>
      <queryTableField id="26" name="Customer_ID" tableColumnId="26"/>
      <queryTableField id="27" name="Customer_Name" tableColumnId="27"/>
      <queryTableField id="28" name="Region" tableColumnId="28"/>
      <queryTableField id="29" name="Material_Description" tableColumnId="29"/>
      <queryTableField id="30" name="Material_Group" tableColumnId="30"/>
      <queryTableField id="31" name="Unit_Cost" tableColumnId="31"/>
      <queryTableField id="32" name="Stock_Price" tableColumnId="32"/>
      <queryTableField id="33" name="Material_Price_Unit" tableColumnId="33"/>
      <queryTableField id="34" name="Material_Currency" tableColumnId="34"/>
      <queryTableField id="35" name="Pricing_Level" tableColumnId="35"/>
      <queryTableField id="36" name="Item_Price" tableColumnId="36"/>
      <queryTableField id="37" name="MG2_Multiplier" tableColumnId="37"/>
      <queryTableField id="38" name="MPG_Multiplier" tableColumnId="38"/>
      <queryTableField id="39" name="Book_Price" tableColumnId="39"/>
      <queryTableField id="40" name="Pricing.Currency" tableColumnId="40"/>
      <queryTableField id="41" name="Pricing_Price_Unit" tableColumnId="41"/>
      <queryTableField id="42" name="Into_Stock_Price" tableColumnId="42"/>
      <queryTableField id="48" name="SPA_Unit_Price" tableColumnId="48"/>
      <queryTableField id="49" name="Into_Stock_Unit_Price" tableColumnId="49"/>
      <queryTableField id="43" name="SPA_Benefit" tableColumnId="43"/>
      <queryTableField id="44" name="Price_Difference" tableColumnId="44"/>
      <queryTableField id="45" name="SPA_Margin_Percent" tableColumnId="45"/>
      <queryTableField id="46" name="Margin_Flag" tableColumnId="46"/>
      <queryTableField id="47" name="Benefit_Flag" tableColumnId="47"/>
      <queryTableField id="52" name="Days_To_Expiry" tableColumnId="50"/>
      <queryTableField id="53" name="Expiry_Status" tableColumnId="51"/>
      <queryTableField id="54" name="Expiry_Flag" tableColumnId="52"/>
      <queryTableField id="55" name="Review_Flag" tableColumnId="53"/>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1" xr16:uid="{3D8D9FA9-DF36-404C-A0A5-92F9AB30DE4F}" autoFormatId="16" applyNumberFormats="0" applyBorderFormats="0" applyFontFormats="0" applyPatternFormats="0" applyAlignmentFormats="0" applyWidthHeightFormats="0">
  <queryTableRefresh nextId="8">
    <queryTableFields count="6">
      <queryTableField id="1" name="Agreement_ID" tableColumnId="1"/>
      <queryTableField id="2" name="Evaluation_Count" tableColumnId="2"/>
      <queryTableField id="3" name="Benefit_Count" tableColumnId="3"/>
      <queryTableField id="5" name="Days_To_Expiry" tableColumnId="5"/>
      <queryTableField id="4" name="Agreement_Action" tableColumnId="4"/>
      <queryTableField id="6" name="Expiry_Status" tableColumnId="6"/>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3" connectionId="4" xr16:uid="{3C20384B-9F2D-4CD3-B076-204977362A28}" autoFormatId="16" applyNumberFormats="0" applyBorderFormats="0" applyFontFormats="0" applyPatternFormats="0" applyAlignmentFormats="0" applyWidthHeightFormats="0">
  <queryTableRefresh nextId="45">
    <queryTableFields count="38">
      <queryTableField id="1" name="Agreement_ID" tableColumnId="1"/>
      <queryTableField id="2" name="Material_ID" tableColumnId="2"/>
      <queryTableField id="3" name="SPA_Price" tableColumnId="3"/>
      <queryTableField id="4" name="Start_Date" tableColumnId="4"/>
      <queryTableField id="5" name="End_Date" tableColumnId="5"/>
      <queryTableField id="6" name="SPA_Price_Unit" tableColumnId="6"/>
      <queryTableField id="7" name="SPA_Currency" tableColumnId="7"/>
      <queryTableField id="8" name="Customer_ID" tableColumnId="8"/>
      <queryTableField id="9" name="Customer_Name" tableColumnId="9"/>
      <queryTableField id="10" name="Region" tableColumnId="10"/>
      <queryTableField id="11" name="Material_Description" tableColumnId="11"/>
      <queryTableField id="12" name="Material_Group" tableColumnId="12"/>
      <queryTableField id="13" name="Unit_Cost" tableColumnId="13"/>
      <queryTableField id="14" name="Stock_Price" tableColumnId="14"/>
      <queryTableField id="15" name="Material_Price_Unit" tableColumnId="15"/>
      <queryTableField id="16" name="Material_Currency" tableColumnId="16"/>
      <queryTableField id="17" name="Pricing_Level" tableColumnId="17"/>
      <queryTableField id="18" name="Item_Price" tableColumnId="18"/>
      <queryTableField id="19" name="MG2_Multiplier" tableColumnId="19"/>
      <queryTableField id="20" name="MPG_Multiplier" tableColumnId="20"/>
      <queryTableField id="21" name="Book_Price" tableColumnId="21"/>
      <queryTableField id="22" name="Pricing.Currency" tableColumnId="22"/>
      <queryTableField id="23" name="Pricing_Price_Unit" tableColumnId="23"/>
      <queryTableField id="24" name="Into_Stock_Price" tableColumnId="24"/>
      <queryTableField id="33" name="SPA_Unit_Price" tableColumnId="33"/>
      <queryTableField id="34" name="Into_Stock_Unit_Price" tableColumnId="34"/>
      <queryTableField id="25" name="SPA_Benefit" tableColumnId="25"/>
      <queryTableField id="26" name="Price_Difference" tableColumnId="26"/>
      <queryTableField id="27" name="SPA_Margin_Percent" tableColumnId="27"/>
      <queryTableField id="28" name="Margin_Flag" tableColumnId="28"/>
      <queryTableField id="29" name="Benefit_Flag" tableColumnId="29"/>
      <queryTableField id="37" name="Days_To_Expiry" tableColumnId="35"/>
      <queryTableField id="38" name="Expiry_Status" tableColumnId="36"/>
      <queryTableField id="39" name="Expiry_Flag" tableColumnId="37"/>
      <queryTableField id="43" name="Review_Flag" tableColumnId="38"/>
      <queryTableField id="30" name="Material_Action" tableColumnId="30"/>
      <queryTableField id="31" name="Customer_Action" tableColumnId="31"/>
      <queryTableField id="32" name="Agreement_Action" tableColumnId="3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5FC7B42-976B-4DDC-8DE8-02D6021917AF}" name="tbl_SPA_Lines_2" displayName="tbl_SPA_Lines_2" ref="A1:G9" tableType="queryTable" totalsRowShown="0">
  <autoFilter ref="A1:G9" xr:uid="{F5FC7B42-976B-4DDC-8DE8-02D6021917AF}"/>
  <tableColumns count="7">
    <tableColumn id="1" xr3:uid="{891118CE-5300-4076-B837-C9D2F5DDAAC6}" uniqueName="1" name="Agreement_ID" queryTableFieldId="1" dataDxfId="80"/>
    <tableColumn id="2" xr3:uid="{2058AF31-AE68-4567-84DA-5518080FDE49}" uniqueName="2" name="Material_ID" queryTableFieldId="2" dataDxfId="79"/>
    <tableColumn id="3" xr3:uid="{8958C5EA-C47D-4E55-A0F4-9B96623D759C}" uniqueName="3" name="SPA_Price" queryTableFieldId="3"/>
    <tableColumn id="4" xr3:uid="{3EE713A0-CC1B-4192-B3CF-DE63E24CE592}" uniqueName="4" name="Start_Date" queryTableFieldId="4" dataDxfId="78"/>
    <tableColumn id="5" xr3:uid="{D6DC66E5-7C8C-47FC-B58D-E176B9994238}" uniqueName="5" name="End_Date" queryTableFieldId="5" dataDxfId="77"/>
    <tableColumn id="6" xr3:uid="{208057D3-2070-4A0C-96B8-78CFA0A92BF5}" uniqueName="6" name="Price_Unit" queryTableFieldId="6"/>
    <tableColumn id="7" xr3:uid="{55BFF94F-4A25-4956-B6CA-60C75CF10988}" uniqueName="7" name="Currency" queryTableFieldId="7" dataDxfId="7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F17CA4F-3923-4D62-AF1F-E3BA73F450F8}" name="tbl_SPA_Lines" displayName="tbl_SPA_Lines" ref="A1:G9" totalsRowShown="0" headerRowDxfId="75" dataDxfId="74">
  <autoFilter ref="A1:G9" xr:uid="{EF17CA4F-3923-4D62-AF1F-E3BA73F450F8}"/>
  <tableColumns count="7">
    <tableColumn id="1" xr3:uid="{BF93BDBF-9D23-4547-B847-E8FB11561873}" name="Agreement_ID" dataDxfId="73"/>
    <tableColumn id="2" xr3:uid="{63F6F428-78F5-40B7-A8F2-3D73B29AC6D8}" name="Material_ID" dataDxfId="72"/>
    <tableColumn id="3" xr3:uid="{96921EE4-9E7B-4FDD-9DC6-8D775E51F84F}" name="SPA_Price" dataDxfId="71"/>
    <tableColumn id="4" xr3:uid="{DD70C825-DF5F-48B3-A069-032909891D8B}" name="Start_Date" dataDxfId="70"/>
    <tableColumn id="5" xr3:uid="{5A735582-A31F-46E1-9112-CD0373239320}" name="End_Date" dataDxfId="69"/>
    <tableColumn id="6" xr3:uid="{CD10A2B6-D2D4-4CF7-ADFC-3EEBA63242CE}" name="Price_Unit" dataDxfId="68"/>
    <tableColumn id="7" xr3:uid="{E29A350C-F3D3-4E01-BC2B-3862877C11AB}" name="Currency" dataDxfId="6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FBC5D37-DA6F-4EDA-8AC0-BEECF5256A2B}" name="tbl_SPA_Customers_2" displayName="tbl_SPA_Customers_2" ref="A1:B8" tableType="queryTable" totalsRowShown="0">
  <autoFilter ref="A1:B8" xr:uid="{0FBC5D37-DA6F-4EDA-8AC0-BEECF5256A2B}"/>
  <tableColumns count="2">
    <tableColumn id="1" xr3:uid="{69BD90B2-B9BF-4B58-8D75-523B173B771E}" uniqueName="1" name="Agreement_ID" queryTableFieldId="1" dataDxfId="66"/>
    <tableColumn id="2" xr3:uid="{3B19BF83-D5C9-4E5E-ABD5-73F004CF99BE}" uniqueName="2" name="Customer_ID" queryTableFieldId="2" dataDxfId="6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6E3F763-BD61-41E9-9E2D-D559CD7C4044}" name="tbl_SPA_Customers" displayName="tbl_SPA_Customers" ref="A1:B8" totalsRowShown="0" headerRowDxfId="64" dataDxfId="63">
  <autoFilter ref="A1:B8" xr:uid="{46E3F763-BD61-41E9-9E2D-D559CD7C4044}"/>
  <tableColumns count="2">
    <tableColumn id="1" xr3:uid="{8514A83A-2A6D-4517-80EB-E00FD6B1709B}" name="Agreement_ID" dataDxfId="62"/>
    <tableColumn id="2" xr3:uid="{5D1155AA-6445-406C-8DCB-15C84CFB52E4}" name="Customer_ID" dataDxfId="6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37F0A70-B6A2-4572-BB2C-D46F3D2A980F}" name="tbl_Customer_Master_2" displayName="tbl_Customer_Master_2" ref="A1:C5" tableType="queryTable" totalsRowShown="0">
  <autoFilter ref="A1:C5" xr:uid="{F37F0A70-B6A2-4572-BB2C-D46F3D2A980F}"/>
  <tableColumns count="3">
    <tableColumn id="1" xr3:uid="{2DF07BD9-21FD-4A5F-8E59-5F79921EBD03}" uniqueName="1" name="Customer_ID" queryTableFieldId="1" dataDxfId="60"/>
    <tableColumn id="2" xr3:uid="{B25F7336-8DF8-4888-BA86-92C3D81A4F0A}" uniqueName="2" name="Customer_Name" queryTableFieldId="2" dataDxfId="59"/>
    <tableColumn id="3" xr3:uid="{F83E3587-E173-4CC9-ACFA-6BBCA52F56C6}" uniqueName="3" name="Region" queryTableFieldId="3" dataDxfId="58"/>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51A324-9F92-4A57-A35A-D94FD60CB316}" name="tbl_Customer_Master" displayName="tbl_Customer_Master" ref="A1:C5" totalsRowShown="0" headerRowDxfId="57">
  <autoFilter ref="A1:C5" xr:uid="{0E51A324-9F92-4A57-A35A-D94FD60CB316}"/>
  <tableColumns count="3">
    <tableColumn id="1" xr3:uid="{8FF020C9-A1F5-4E03-ACDA-9CCE4853FD77}" name="Customer_ID"/>
    <tableColumn id="2" xr3:uid="{9A7FA262-AB03-48BA-8720-D6BE4056F585}" name="Customer_Name"/>
    <tableColumn id="3" xr3:uid="{84E6688C-ACE6-43AF-B50C-346640194098}" name="Regio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9BAECE1-F546-4A24-8EBC-17E97A0F8A9E}" name="tbl_Material_Master_2" displayName="tbl_Material_Master_2" ref="A1:G7" tableType="queryTable" totalsRowShown="0">
  <autoFilter ref="A1:G7" xr:uid="{09BAECE1-F546-4A24-8EBC-17E97A0F8A9E}"/>
  <tableColumns count="7">
    <tableColumn id="1" xr3:uid="{41AA28A5-9BCC-4978-9537-8B71CB2C804D}" uniqueName="1" name="Material_ID" queryTableFieldId="1" dataDxfId="56"/>
    <tableColumn id="2" xr3:uid="{60465D0F-7E9D-4840-9C53-7CC301E17A3E}" uniqueName="2" name="Material_Description" queryTableFieldId="2" dataDxfId="55"/>
    <tableColumn id="3" xr3:uid="{7EB7D468-63AA-49D9-A14F-5496ADEB3E77}" uniqueName="3" name="Material_Group" queryTableFieldId="3" dataDxfId="54"/>
    <tableColumn id="4" xr3:uid="{272FD5D8-FF23-41FD-9451-C1858BAAB83D}" uniqueName="4" name="Unit_Cost" queryTableFieldId="4"/>
    <tableColumn id="5" xr3:uid="{BDFB4112-8A2F-441A-85BF-BB170B97400E}" uniqueName="5" name="Stock_Price" queryTableFieldId="5"/>
    <tableColumn id="6" xr3:uid="{15AB413E-8933-4FB3-A947-E6756B8AC7E8}" uniqueName="6" name="Price_Unit" queryTableFieldId="6"/>
    <tableColumn id="7" xr3:uid="{A9AADCF6-984B-46D5-B935-8B8FFB6AA084}" uniqueName="7" name="Currency" queryTableFieldId="7" dataDxfId="53"/>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A5D627F-FF99-4901-8D41-DFD0D34627FA}" name="tbl_Material_Master" displayName="tbl_Material_Master" ref="A1:G7" totalsRowShown="0" headerRowDxfId="52" dataDxfId="51">
  <autoFilter ref="A1:G7" xr:uid="{BA5D627F-FF99-4901-8D41-DFD0D34627FA}"/>
  <tableColumns count="7">
    <tableColumn id="1" xr3:uid="{04AEE92F-1AAA-45BB-B4ED-5D478CA58CA4}" name="Material_ID" dataDxfId="50"/>
    <tableColumn id="2" xr3:uid="{9E1508D1-9C54-4534-A620-0B5C264D509D}" name="Material_Description" dataDxfId="49"/>
    <tableColumn id="3" xr3:uid="{80B7C838-31F3-431E-A405-653BB105737E}" name="Material_Group" dataDxfId="48"/>
    <tableColumn id="4" xr3:uid="{96719646-A942-4B65-AA66-393EDB8A964C}" name="Unit_Cost" dataDxfId="47"/>
    <tableColumn id="5" xr3:uid="{6F6E2665-D080-44A7-8F3F-A35772B887C7}" name="Stock_Price" dataDxfId="46"/>
    <tableColumn id="6" xr3:uid="{F1909A4C-088A-4190-B1D3-5B7000BC12EF}" name="Price_Unit" dataDxfId="45"/>
    <tableColumn id="7" xr3:uid="{5E67B9DD-0759-48CC-BFD7-12DD6062B5AB}" name="Currency" dataDxfId="44"/>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16D1274-A65E-4467-AD71-AD12D124C910}" name="tbl_Customer_Pricing_2" displayName="tbl_Customer_Pricing_2" ref="A1:I19" tableType="queryTable" totalsRowShown="0">
  <autoFilter ref="A1:I19" xr:uid="{716D1274-A65E-4467-AD71-AD12D124C910}"/>
  <tableColumns count="9">
    <tableColumn id="1" xr3:uid="{A0A3944C-77E4-4DDE-ACD2-91EE333F8086}" uniqueName="1" name="Customer_ID" queryTableFieldId="1" dataDxfId="43"/>
    <tableColumn id="2" xr3:uid="{5B9175CC-B953-40F2-8651-8106830FD66C}" uniqueName="2" name="Material_ID" queryTableFieldId="2" dataDxfId="42"/>
    <tableColumn id="3" xr3:uid="{3E37C43A-49E5-43F6-A13E-2E0B67C2306D}" uniqueName="3" name="Pricing_Level" queryTableFieldId="3" dataDxfId="41"/>
    <tableColumn id="4" xr3:uid="{B07FB5F5-AB59-4438-B888-294BDF6DB186}" uniqueName="4" name="Item_Price" queryTableFieldId="4"/>
    <tableColumn id="5" xr3:uid="{CB44B297-49DB-4101-B49E-9EEA7049D381}" uniqueName="5" name="MG2_Multiplier" queryTableFieldId="5"/>
    <tableColumn id="6" xr3:uid="{DA32B5FA-1E51-4BCF-8EEC-2F2B76016942}" uniqueName="6" name="MPG_Multiplier" queryTableFieldId="6"/>
    <tableColumn id="7" xr3:uid="{8F01F281-AE33-40F3-816E-A152915E45DB}" uniqueName="7" name="Book_Price" queryTableFieldId="7"/>
    <tableColumn id="8" xr3:uid="{EF5F7323-F472-4894-8786-094260F6BF8A}" uniqueName="8" name="Currency" queryTableFieldId="8" dataDxfId="40"/>
    <tableColumn id="9" xr3:uid="{07D0C684-D326-4602-A852-65257B4E0A08}" uniqueName="9" name="Price_Unit" queryTableFieldId="9"/>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9617439-290F-4617-BA7B-654C69F1533D}" name="tbl_Customer_Pricing" displayName="tbl_Customer_Pricing" ref="A1:I19" totalsRowShown="0" headerRowDxfId="39" dataDxfId="38">
  <autoFilter ref="A1:I19" xr:uid="{59617439-290F-4617-BA7B-654C69F1533D}"/>
  <tableColumns count="9">
    <tableColumn id="1" xr3:uid="{A0859B49-6372-4F2B-86C5-522BCB8DF7B6}" name="Customer_ID" dataDxfId="37"/>
    <tableColumn id="2" xr3:uid="{2814A2C0-5194-4542-ACBA-7F626F1A5170}" name="Material_ID" dataDxfId="36"/>
    <tableColumn id="3" xr3:uid="{C0B4340C-3A71-493E-8963-ED5032C8B5BA}" name="Pricing_Level" dataDxfId="35"/>
    <tableColumn id="4" xr3:uid="{DDE97F8F-6C4E-4B1F-97CB-3FCBE6B34943}" name="Item_Price" dataDxfId="34"/>
    <tableColumn id="5" xr3:uid="{47AE7013-770F-4073-BD3A-87BD20D1A452}" name="MG2_Multiplier" dataDxfId="33"/>
    <tableColumn id="6" xr3:uid="{9C0CF17A-EFC3-46DA-847D-56348EC2BCB9}" name="MPG_Multiplier" dataDxfId="32"/>
    <tableColumn id="7" xr3:uid="{25655456-2326-487E-8A90-3609A34B04F9}" name="Book_Price" dataDxfId="31"/>
    <tableColumn id="8" xr3:uid="{7FEAAA59-E411-4B3F-8564-56F657E244A1}" name="Currency" dataDxfId="30"/>
    <tableColumn id="9" xr3:uid="{7EAE906A-4AF0-484B-A4D6-983CBD35C96D}" name="Price_Unit" dataDxfId="2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7C7BA5A-21C5-4B0A-AC51-B59C9A7891F5}" name="Analysis_Base_Query" displayName="Analysis_Base_Query" ref="A1:AI21" tableType="queryTable" totalsRowShown="0">
  <autoFilter ref="A1:AI21" xr:uid="{E7C7BA5A-21C5-4B0A-AC51-B59C9A7891F5}"/>
  <tableColumns count="35">
    <tableColumn id="1" xr3:uid="{C92FF72E-8F73-4AFA-B50C-EDD4AB3E4BDB}" uniqueName="1" name="Agreement_ID" queryTableFieldId="1" dataDxfId="28"/>
    <tableColumn id="2" xr3:uid="{A4DB7C29-1D12-454B-91DA-8BDFA60C4D06}" uniqueName="2" name="Material_ID" queryTableFieldId="2" dataDxfId="27"/>
    <tableColumn id="3" xr3:uid="{1944430F-8CE3-45FD-A5E4-E9731EF42A68}" uniqueName="3" name="SPA_Price" queryTableFieldId="3"/>
    <tableColumn id="4" xr3:uid="{6272A47D-0A79-47B8-AA3E-5A6FE4201872}" uniqueName="4" name="Start_Date" queryTableFieldId="4" dataDxfId="26"/>
    <tableColumn id="5" xr3:uid="{0F82006D-2E5C-4995-994C-8BE9B80C3250}" uniqueName="5" name="End_Date" queryTableFieldId="5" dataDxfId="25"/>
    <tableColumn id="24" xr3:uid="{406E25CA-162C-4C9D-A9E0-B26EAFF8F137}" uniqueName="24" name="SPA_Price_Unit" queryTableFieldId="24"/>
    <tableColumn id="25" xr3:uid="{5355552B-072A-4033-AE70-00AF54918C09}" uniqueName="25" name="SPA_Currency" queryTableFieldId="25" dataDxfId="24"/>
    <tableColumn id="26" xr3:uid="{AA97AC4E-598F-49ED-BBA0-BF39CC091575}" uniqueName="26" name="Customer_ID" queryTableFieldId="26" dataDxfId="23"/>
    <tableColumn id="27" xr3:uid="{E3D31BA0-EEC9-47BA-B1F7-893884D1DF36}" uniqueName="27" name="Customer_Name" queryTableFieldId="27" dataDxfId="22"/>
    <tableColumn id="28" xr3:uid="{FEC8E10B-1CBC-44D2-A1B1-4C82ADE6CBA5}" uniqueName="28" name="Region" queryTableFieldId="28" dataDxfId="21"/>
    <tableColumn id="29" xr3:uid="{3E705CAA-8E9E-4074-A4E0-34C1BC1FD299}" uniqueName="29" name="Material_Description" queryTableFieldId="29" dataDxfId="20"/>
    <tableColumn id="30" xr3:uid="{169DCC26-A842-4085-8B44-E3AA4082DB41}" uniqueName="30" name="Material_Group" queryTableFieldId="30" dataDxfId="19"/>
    <tableColumn id="31" xr3:uid="{797DD3F2-24F4-413A-847C-5D90531E237C}" uniqueName="31" name="Unit_Cost" queryTableFieldId="31"/>
    <tableColumn id="32" xr3:uid="{E9CDE05A-8A34-4A62-B44E-1DFD0A544F64}" uniqueName="32" name="Stock_Price" queryTableFieldId="32"/>
    <tableColumn id="33" xr3:uid="{5E7B3B4A-E8D2-4F5E-97C3-FF92C147C35F}" uniqueName="33" name="Material_Price_Unit" queryTableFieldId="33"/>
    <tableColumn id="34" xr3:uid="{CA8F2E3B-8B58-4293-8344-0CA25FC0F49E}" uniqueName="34" name="Material_Currency" queryTableFieldId="34" dataDxfId="18"/>
    <tableColumn id="35" xr3:uid="{603CEAA3-3594-4398-9475-54B6B960D30B}" uniqueName="35" name="Pricing_Level" queryTableFieldId="35" dataDxfId="17"/>
    <tableColumn id="36" xr3:uid="{177490BE-B234-4835-9C03-9C63CBEE7E7E}" uniqueName="36" name="Item_Price" queryTableFieldId="36"/>
    <tableColumn id="37" xr3:uid="{4CDDB1D5-0217-44D7-A0EE-7EA0F46799A4}" uniqueName="37" name="MG2_Multiplier" queryTableFieldId="37"/>
    <tableColumn id="38" xr3:uid="{95157F5F-7660-44EA-A66F-F3B770CC14B5}" uniqueName="38" name="MPG_Multiplier" queryTableFieldId="38"/>
    <tableColumn id="39" xr3:uid="{E3494798-FFE9-4A57-A084-198810B7A16C}" uniqueName="39" name="Book_Price" queryTableFieldId="39"/>
    <tableColumn id="40" xr3:uid="{7FD12CBB-644D-4295-B859-60AEA71B6690}" uniqueName="40" name="Pricing.Currency" queryTableFieldId="40" dataDxfId="16"/>
    <tableColumn id="41" xr3:uid="{C6C2D8F6-BB50-4509-A80E-C98C85408916}" uniqueName="41" name="Pricing_Price_Unit" queryTableFieldId="41"/>
    <tableColumn id="42" xr3:uid="{FFED9723-BB50-4288-8AE8-A24AE6B08DB8}" uniqueName="42" name="Into_Stock_Price" queryTableFieldId="42"/>
    <tableColumn id="48" xr3:uid="{85A3262E-6B37-466B-95FA-E87542B669B9}" uniqueName="48" name="SPA_Unit_Price" queryTableFieldId="48"/>
    <tableColumn id="49" xr3:uid="{30E8065C-E9B4-49F6-9FC5-FED176BB4E15}" uniqueName="49" name="Into_Stock_Unit_Price" queryTableFieldId="49"/>
    <tableColumn id="43" xr3:uid="{9A10E54E-3EC5-4E35-931D-AF28B323C733}" uniqueName="43" name="SPA_Benefit" queryTableFieldId="43"/>
    <tableColumn id="44" xr3:uid="{92C509BC-4A03-4EBA-A1A5-C1C9590DEC8D}" uniqueName="44" name="Price_Difference" queryTableFieldId="44"/>
    <tableColumn id="45" xr3:uid="{8BA7C748-166D-49A1-BB46-2751F5AB2BE0}" uniqueName="45" name="SPA_Margin_Percent" queryTableFieldId="45" dataDxfId="15" dataCellStyle="Percent"/>
    <tableColumn id="46" xr3:uid="{0C9B0D60-3416-4FA5-BD38-A755AF75C605}" uniqueName="46" name="Margin_Flag" queryTableFieldId="46"/>
    <tableColumn id="47" xr3:uid="{F51C5D5E-7639-4EF5-BB5C-EE7F4C4B8D0D}" uniqueName="47" name="Benefit_Flag" queryTableFieldId="47"/>
    <tableColumn id="50" xr3:uid="{31F10460-1022-4D6A-8726-DAE4D31B8A9C}" uniqueName="50" name="Days_To_Expiry" queryTableFieldId="52"/>
    <tableColumn id="51" xr3:uid="{10DA7746-4EA1-4B20-8480-391E416D6700}" uniqueName="51" name="Expiry_Status" queryTableFieldId="53"/>
    <tableColumn id="52" xr3:uid="{583C91B8-9670-46B3-B498-4614D2736E96}" uniqueName="52" name="Expiry_Flag" queryTableFieldId="54"/>
    <tableColumn id="53" xr3:uid="{C1BF230D-69AE-45AA-9DD6-EE8F1C361325}" uniqueName="53" name="Review_Flag" queryTableFieldId="55"/>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4F47D23-D80D-49DB-B3AC-0D4558BCB8D4}" name="tbl_Agreement_Summary" displayName="tbl_Agreement_Summary" ref="A1:F4" tableType="queryTable" totalsRowShown="0">
  <autoFilter ref="A1:F4" xr:uid="{B4F47D23-D80D-49DB-B3AC-0D4558BCB8D4}"/>
  <tableColumns count="6">
    <tableColumn id="1" xr3:uid="{1661DA22-B40D-4368-BC8B-7EAB6414DD67}" uniqueName="1" name="Agreement_ID" queryTableFieldId="1" dataDxfId="14"/>
    <tableColumn id="2" xr3:uid="{270FC147-0367-494D-9C5E-493D267235B6}" uniqueName="2" name="Evaluation_Count" queryTableFieldId="2"/>
    <tableColumn id="3" xr3:uid="{0C225C21-9CE8-439D-A1F8-79D9243B789E}" uniqueName="3" name="Benefit_Count" queryTableFieldId="3"/>
    <tableColumn id="5" xr3:uid="{C5ABFEE9-F06D-4865-883B-A8B722853DD5}" uniqueName="5" name="Days_To_Expiry" queryTableFieldId="5"/>
    <tableColumn id="4" xr3:uid="{5FFEA01F-3FEF-4446-A77C-B63535C88D45}" uniqueName="4" name="Agreement_Action" queryTableFieldId="4"/>
    <tableColumn id="6" xr3:uid="{4BCD0B7D-9291-43A0-9B9F-31D165B423A0}" uniqueName="6" name="Expiry_Status" queryTableFieldId="6"/>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7E3764A-39F1-48AF-8808-092F1DDF8E87}" name="tbl_Final_Analysis" displayName="tbl_Final_Analysis" ref="A1:AL21" tableType="queryTable" totalsRowShown="0">
  <autoFilter ref="A1:AL21" xr:uid="{F7E3764A-39F1-48AF-8808-092F1DDF8E87}"/>
  <tableColumns count="38">
    <tableColumn id="1" xr3:uid="{5AB874D7-10C3-4196-8D33-52A479328ABB}" uniqueName="1" name="Agreement_ID" queryTableFieldId="1" dataDxfId="13"/>
    <tableColumn id="2" xr3:uid="{DB20AD05-4DDF-42DF-AC2A-93300B6D31EF}" uniqueName="2" name="Material_ID" queryTableFieldId="2" dataDxfId="12"/>
    <tableColumn id="3" xr3:uid="{5C3B50FF-91F9-412C-A606-E00BB48FDADF}" uniqueName="3" name="SPA_Price" queryTableFieldId="3"/>
    <tableColumn id="4" xr3:uid="{D304A8DF-ECC7-467B-A9CB-F6AC983DFC6C}" uniqueName="4" name="Start_Date" queryTableFieldId="4" dataDxfId="11"/>
    <tableColumn id="5" xr3:uid="{33262C40-0E1D-4E05-ADBA-8A9EBCD872D2}" uniqueName="5" name="End_Date" queryTableFieldId="5" dataDxfId="10"/>
    <tableColumn id="6" xr3:uid="{34AA3FCE-60D7-4155-80F2-5447A157FA9B}" uniqueName="6" name="SPA_Price_Unit" queryTableFieldId="6"/>
    <tableColumn id="7" xr3:uid="{E9CC3C17-059D-4438-ABD4-1DC6DEB258C7}" uniqueName="7" name="SPA_Currency" queryTableFieldId="7" dataDxfId="9"/>
    <tableColumn id="8" xr3:uid="{4EC22200-18D7-48EF-99EB-190B9D711595}" uniqueName="8" name="Customer_ID" queryTableFieldId="8" dataDxfId="8"/>
    <tableColumn id="9" xr3:uid="{B59BF6BD-8805-4561-BDA9-347AE4642CCE}" uniqueName="9" name="Customer_Name" queryTableFieldId="9" dataDxfId="7"/>
    <tableColumn id="10" xr3:uid="{8AD0423D-D94C-47F0-ABF8-601B91D53D07}" uniqueName="10" name="Region" queryTableFieldId="10" dataDxfId="6"/>
    <tableColumn id="11" xr3:uid="{AFA31DAE-462A-4AAC-9847-D90E7A7C4F54}" uniqueName="11" name="Material_Description" queryTableFieldId="11" dataDxfId="5"/>
    <tableColumn id="12" xr3:uid="{5EE75689-AA40-43A4-B61D-24C585818BE7}" uniqueName="12" name="Material_Group" queryTableFieldId="12" dataDxfId="4"/>
    <tableColumn id="13" xr3:uid="{EF7C470E-A46E-41EA-A0CF-FFA566B8887C}" uniqueName="13" name="Unit_Cost" queryTableFieldId="13"/>
    <tableColumn id="14" xr3:uid="{EA169A9E-3A65-4AB1-9EE5-4C4EB8081764}" uniqueName="14" name="Stock_Price" queryTableFieldId="14"/>
    <tableColumn id="15" xr3:uid="{1B17FE7E-64D8-48EB-B75E-E644D977702D}" uniqueName="15" name="Material_Price_Unit" queryTableFieldId="15"/>
    <tableColumn id="16" xr3:uid="{1019474A-FA8E-427A-B87A-9DCC2A677E56}" uniqueName="16" name="Material_Currency" queryTableFieldId="16" dataDxfId="3"/>
    <tableColumn id="17" xr3:uid="{20829E73-2803-4E42-BCD1-C253CDEFCD8E}" uniqueName="17" name="Pricing_Level" queryTableFieldId="17" dataDxfId="2"/>
    <tableColumn id="18" xr3:uid="{A9E1634A-7BF2-4559-B517-3E97F562A6D2}" uniqueName="18" name="Item_Price" queryTableFieldId="18"/>
    <tableColumn id="19" xr3:uid="{1A1A705A-3BDE-4FD7-9925-C8E519BF9208}" uniqueName="19" name="MG2_Multiplier" queryTableFieldId="19"/>
    <tableColumn id="20" xr3:uid="{43DC3219-A05B-43F9-BFF2-5B135A272631}" uniqueName="20" name="MPG_Multiplier" queryTableFieldId="20"/>
    <tableColumn id="21" xr3:uid="{E88E149B-888A-4631-BDBF-CC882FFF54C1}" uniqueName="21" name="Book_Price" queryTableFieldId="21"/>
    <tableColumn id="22" xr3:uid="{211EFA5F-1710-43E1-AF38-6A923169A592}" uniqueName="22" name="Pricing.Currency" queryTableFieldId="22" dataDxfId="1"/>
    <tableColumn id="23" xr3:uid="{37333518-4447-4B2A-9EEE-368FFE47ABB5}" uniqueName="23" name="Pricing_Price_Unit" queryTableFieldId="23"/>
    <tableColumn id="24" xr3:uid="{8B4C17F2-1742-4082-B0D5-A3B6E7BE5173}" uniqueName="24" name="Into_Stock_Price" queryTableFieldId="24"/>
    <tableColumn id="33" xr3:uid="{D0051330-7D29-46A0-9AB5-CA112122FAAD}" uniqueName="33" name="SPA_Unit_Price" queryTableFieldId="33"/>
    <tableColumn id="34" xr3:uid="{AFB2298D-BC36-4486-9824-EE377EFFB152}" uniqueName="34" name="Into_Stock_Unit_Price" queryTableFieldId="34"/>
    <tableColumn id="25" xr3:uid="{A51C18CA-BB8F-4C4C-9573-B295904D7184}" uniqueName="25" name="SPA_Benefit" queryTableFieldId="25"/>
    <tableColumn id="26" xr3:uid="{92A285F0-8FC6-4097-BD67-5162CB2A65A3}" uniqueName="26" name="Price_Difference" queryTableFieldId="26"/>
    <tableColumn id="27" xr3:uid="{E9B9EBDB-31BB-4171-AEA5-C455F714B06D}" uniqueName="27" name="SPA_Margin_Percent" queryTableFieldId="27" dataDxfId="0" dataCellStyle="Percent"/>
    <tableColumn id="28" xr3:uid="{9B0E2797-8B3B-41B7-AA7E-FC61B82CD3E9}" uniqueName="28" name="Margin_Flag" queryTableFieldId="28"/>
    <tableColumn id="29" xr3:uid="{CF1CBC9A-3A38-4EF8-AA00-0B60158B3FBF}" uniqueName="29" name="Benefit_Flag" queryTableFieldId="29"/>
    <tableColumn id="35" xr3:uid="{2D49C4DA-2A52-4F85-B8AE-6682E9CA2CDB}" uniqueName="35" name="Days_To_Expiry" queryTableFieldId="37"/>
    <tableColumn id="36" xr3:uid="{39A9B015-07D0-47C9-A214-66FBDE3813EF}" uniqueName="36" name="Expiry_Status" queryTableFieldId="38"/>
    <tableColumn id="37" xr3:uid="{7CF50AAD-61A8-47D9-BC55-CD6B1667717B}" uniqueName="37" name="Expiry_Flag" queryTableFieldId="39"/>
    <tableColumn id="38" xr3:uid="{D130E630-0F11-405A-B23A-559E3CA4E360}" uniqueName="38" name="Review_Flag" queryTableFieldId="43"/>
    <tableColumn id="30" xr3:uid="{5E09BDE1-7E31-4A30-8CE6-C23C85EEB79E}" uniqueName="30" name="Material_Action" queryTableFieldId="30"/>
    <tableColumn id="31" xr3:uid="{FEA0C2F3-DDA0-490D-9930-99B242CE4862}" uniqueName="31" name="Customer_Action" queryTableFieldId="31"/>
    <tableColumn id="32" xr3:uid="{534F7BE2-28FE-4CE9-87D7-9F8B920C986C}" uniqueName="32" name="Agreement_Action" queryTableFieldId="3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3CEA8-4634-417C-95FE-5BFA950645A7}">
  <dimension ref="A1:E14"/>
  <sheetViews>
    <sheetView workbookViewId="0">
      <selection activeCell="A6" sqref="A6"/>
    </sheetView>
  </sheetViews>
  <sheetFormatPr defaultRowHeight="14.25"/>
  <cols>
    <col min="1" max="1" width="88.53125" customWidth="1"/>
    <col min="2" max="4" width="9.06640625" style="5"/>
    <col min="5" max="5" width="82.86328125" customWidth="1"/>
  </cols>
  <sheetData>
    <row r="1" spans="1:5" ht="21">
      <c r="A1" s="1" t="s">
        <v>0</v>
      </c>
      <c r="E1" s="4" t="s">
        <v>5</v>
      </c>
    </row>
    <row r="2" spans="1:5" ht="40.9" customHeight="1">
      <c r="A2" s="1" t="s">
        <v>1</v>
      </c>
      <c r="E2" s="2" t="s">
        <v>8</v>
      </c>
    </row>
    <row r="5" spans="1:5" ht="18">
      <c r="A5" s="7" t="s">
        <v>3</v>
      </c>
      <c r="E5" s="4" t="s">
        <v>9</v>
      </c>
    </row>
    <row r="6" spans="1:5" ht="108">
      <c r="A6" s="2" t="s">
        <v>2</v>
      </c>
      <c r="E6" s="8" t="s">
        <v>10</v>
      </c>
    </row>
    <row r="9" spans="1:5" ht="18">
      <c r="A9" s="4" t="s">
        <v>4</v>
      </c>
      <c r="E9" s="4" t="s">
        <v>11</v>
      </c>
    </row>
    <row r="10" spans="1:5" ht="162">
      <c r="A10" s="2" t="s">
        <v>19</v>
      </c>
      <c r="E10" s="2" t="s">
        <v>12</v>
      </c>
    </row>
    <row r="13" spans="1:5" ht="18">
      <c r="A13" s="4" t="s">
        <v>6</v>
      </c>
    </row>
    <row r="14" spans="1:5" ht="36">
      <c r="A14" s="2" t="s">
        <v>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5D071-ECEA-43EB-B279-41DBCB42C679}">
  <dimension ref="A1:G9"/>
  <sheetViews>
    <sheetView workbookViewId="0"/>
  </sheetViews>
  <sheetFormatPr defaultRowHeight="14.25"/>
  <cols>
    <col min="1" max="1" width="14.73046875" bestFit="1" customWidth="1"/>
    <col min="2" max="2" width="12.3984375" bestFit="1" customWidth="1"/>
    <col min="3" max="3" width="10.9296875" bestFit="1" customWidth="1"/>
    <col min="4" max="4" width="12.19921875" bestFit="1" customWidth="1"/>
    <col min="5" max="5" width="14.265625" bestFit="1" customWidth="1"/>
    <col min="6" max="6" width="11.265625" bestFit="1" customWidth="1"/>
    <col min="7" max="7" width="10.1328125" bestFit="1" customWidth="1"/>
  </cols>
  <sheetData>
    <row r="1" spans="1:7">
      <c r="A1" t="s">
        <v>13</v>
      </c>
      <c r="B1" t="s">
        <v>17</v>
      </c>
      <c r="C1" t="s">
        <v>14</v>
      </c>
      <c r="D1" t="s">
        <v>20</v>
      </c>
      <c r="E1" t="s">
        <v>21</v>
      </c>
      <c r="F1" t="s">
        <v>65</v>
      </c>
      <c r="G1" t="s">
        <v>30</v>
      </c>
    </row>
    <row r="2" spans="1:7">
      <c r="A2" t="s">
        <v>62</v>
      </c>
      <c r="B2" t="s">
        <v>44</v>
      </c>
      <c r="C2">
        <v>88</v>
      </c>
      <c r="D2" s="17">
        <v>46023</v>
      </c>
      <c r="E2" s="17">
        <v>46387</v>
      </c>
      <c r="F2">
        <v>1</v>
      </c>
      <c r="G2" t="s">
        <v>47</v>
      </c>
    </row>
    <row r="3" spans="1:7">
      <c r="A3" t="s">
        <v>62</v>
      </c>
      <c r="B3" t="s">
        <v>48</v>
      </c>
      <c r="C3">
        <v>150</v>
      </c>
      <c r="D3" s="17">
        <v>46023</v>
      </c>
      <c r="E3" s="17">
        <v>46387</v>
      </c>
      <c r="F3">
        <v>1</v>
      </c>
      <c r="G3" t="s">
        <v>47</v>
      </c>
    </row>
    <row r="4" spans="1:7">
      <c r="A4" t="s">
        <v>62</v>
      </c>
      <c r="B4" t="s">
        <v>51</v>
      </c>
      <c r="C4">
        <v>210</v>
      </c>
      <c r="D4" s="17">
        <v>46023</v>
      </c>
      <c r="E4" s="17">
        <v>46387</v>
      </c>
      <c r="F4">
        <v>1</v>
      </c>
      <c r="G4" t="s">
        <v>47</v>
      </c>
    </row>
    <row r="5" spans="1:7">
      <c r="A5" t="s">
        <v>62</v>
      </c>
      <c r="B5" t="s">
        <v>54</v>
      </c>
      <c r="C5">
        <v>13500</v>
      </c>
      <c r="D5" s="17">
        <v>46023</v>
      </c>
      <c r="E5" s="17">
        <v>46387</v>
      </c>
      <c r="F5">
        <v>100</v>
      </c>
      <c r="G5" t="s">
        <v>47</v>
      </c>
    </row>
    <row r="6" spans="1:7">
      <c r="A6" t="s">
        <v>63</v>
      </c>
      <c r="B6" t="s">
        <v>44</v>
      </c>
      <c r="C6">
        <v>105</v>
      </c>
      <c r="D6" s="17">
        <v>46054</v>
      </c>
      <c r="E6" s="17">
        <v>46234</v>
      </c>
      <c r="F6">
        <v>1</v>
      </c>
      <c r="G6" t="s">
        <v>47</v>
      </c>
    </row>
    <row r="7" spans="1:7">
      <c r="A7" t="s">
        <v>63</v>
      </c>
      <c r="B7" t="s">
        <v>57</v>
      </c>
      <c r="C7">
        <v>85</v>
      </c>
      <c r="D7" s="17">
        <v>46054</v>
      </c>
      <c r="E7" s="17">
        <v>46234</v>
      </c>
      <c r="F7">
        <v>1</v>
      </c>
      <c r="G7" t="s">
        <v>47</v>
      </c>
    </row>
    <row r="8" spans="1:7">
      <c r="A8" t="s">
        <v>64</v>
      </c>
      <c r="B8" t="s">
        <v>51</v>
      </c>
      <c r="C8">
        <v>195</v>
      </c>
      <c r="D8" s="17">
        <v>46082</v>
      </c>
      <c r="E8" s="17">
        <v>46446</v>
      </c>
      <c r="F8">
        <v>1</v>
      </c>
      <c r="G8" t="s">
        <v>47</v>
      </c>
    </row>
    <row r="9" spans="1:7">
      <c r="A9" t="s">
        <v>64</v>
      </c>
      <c r="B9" t="s">
        <v>60</v>
      </c>
      <c r="C9">
        <v>170</v>
      </c>
      <c r="D9" s="17">
        <v>46082</v>
      </c>
      <c r="E9" s="17">
        <v>46446</v>
      </c>
      <c r="F9">
        <v>1</v>
      </c>
      <c r="G9" t="s">
        <v>47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8E48B-9376-4D04-BCB3-840EEBFA6FD9}">
  <dimension ref="A1:G9"/>
  <sheetViews>
    <sheetView tabSelected="1" workbookViewId="0">
      <selection activeCell="F13" sqref="F13"/>
    </sheetView>
  </sheetViews>
  <sheetFormatPr defaultRowHeight="14.25"/>
  <cols>
    <col min="1" max="1" width="20.265625" style="16" bestFit="1" customWidth="1"/>
    <col min="2" max="2" width="17.46484375" style="16" bestFit="1" customWidth="1"/>
    <col min="3" max="3" width="15.46484375" style="16" bestFit="1" customWidth="1"/>
    <col min="4" max="4" width="16.265625" style="16" bestFit="1" customWidth="1"/>
    <col min="5" max="5" width="15.19921875" style="16" bestFit="1" customWidth="1"/>
    <col min="6" max="6" width="13.73046875" style="16" bestFit="1" customWidth="1"/>
    <col min="7" max="7" width="14.46484375" style="16" bestFit="1" customWidth="1"/>
  </cols>
  <sheetData>
    <row r="1" spans="1:7" ht="18">
      <c r="A1" s="14" t="s">
        <v>13</v>
      </c>
      <c r="B1" s="14" t="s">
        <v>17</v>
      </c>
      <c r="C1" s="14" t="s">
        <v>14</v>
      </c>
      <c r="D1" s="14" t="s">
        <v>20</v>
      </c>
      <c r="E1" s="14" t="s">
        <v>21</v>
      </c>
      <c r="F1" s="3" t="s">
        <v>65</v>
      </c>
      <c r="G1" s="14" t="s">
        <v>30</v>
      </c>
    </row>
    <row r="2" spans="1:7">
      <c r="A2" s="10" t="s">
        <v>62</v>
      </c>
      <c r="B2" s="10" t="s">
        <v>44</v>
      </c>
      <c r="C2" s="10">
        <v>88</v>
      </c>
      <c r="D2" s="15">
        <v>46023</v>
      </c>
      <c r="E2" s="15">
        <v>46387</v>
      </c>
      <c r="F2" s="10">
        <v>1</v>
      </c>
      <c r="G2" s="10" t="s">
        <v>47</v>
      </c>
    </row>
    <row r="3" spans="1:7">
      <c r="A3" s="10" t="s">
        <v>62</v>
      </c>
      <c r="B3" s="10" t="s">
        <v>48</v>
      </c>
      <c r="C3" s="10">
        <v>150</v>
      </c>
      <c r="D3" s="15">
        <v>46023</v>
      </c>
      <c r="E3" s="15">
        <v>46387</v>
      </c>
      <c r="F3" s="10">
        <v>1</v>
      </c>
      <c r="G3" s="10" t="s">
        <v>47</v>
      </c>
    </row>
    <row r="4" spans="1:7">
      <c r="A4" s="10" t="s">
        <v>62</v>
      </c>
      <c r="B4" s="10" t="s">
        <v>51</v>
      </c>
      <c r="C4" s="10">
        <v>210</v>
      </c>
      <c r="D4" s="15">
        <v>46023</v>
      </c>
      <c r="E4" s="15">
        <v>46387</v>
      </c>
      <c r="F4" s="10">
        <v>1</v>
      </c>
      <c r="G4" s="10" t="s">
        <v>47</v>
      </c>
    </row>
    <row r="5" spans="1:7">
      <c r="A5" s="10" t="s">
        <v>62</v>
      </c>
      <c r="B5" s="10" t="s">
        <v>54</v>
      </c>
      <c r="C5" s="10">
        <v>13500</v>
      </c>
      <c r="D5" s="15">
        <v>46023</v>
      </c>
      <c r="E5" s="15">
        <v>46387</v>
      </c>
      <c r="F5" s="10">
        <v>100</v>
      </c>
      <c r="G5" s="10" t="s">
        <v>47</v>
      </c>
    </row>
    <row r="6" spans="1:7">
      <c r="A6" s="10" t="s">
        <v>63</v>
      </c>
      <c r="B6" s="10" t="s">
        <v>44</v>
      </c>
      <c r="C6" s="10">
        <v>105</v>
      </c>
      <c r="D6" s="15">
        <v>46054</v>
      </c>
      <c r="E6" s="19">
        <v>46234</v>
      </c>
      <c r="F6" s="10">
        <v>1</v>
      </c>
      <c r="G6" s="10" t="s">
        <v>47</v>
      </c>
    </row>
    <row r="7" spans="1:7">
      <c r="A7" s="10" t="s">
        <v>63</v>
      </c>
      <c r="B7" s="10" t="s">
        <v>57</v>
      </c>
      <c r="C7" s="10">
        <v>85</v>
      </c>
      <c r="D7" s="15">
        <v>46054</v>
      </c>
      <c r="E7" s="19">
        <v>46234</v>
      </c>
      <c r="F7" s="10">
        <v>1</v>
      </c>
      <c r="G7" s="10" t="s">
        <v>47</v>
      </c>
    </row>
    <row r="8" spans="1:7">
      <c r="A8" s="10" t="s">
        <v>64</v>
      </c>
      <c r="B8" s="10" t="s">
        <v>51</v>
      </c>
      <c r="C8" s="10">
        <v>195</v>
      </c>
      <c r="D8" s="15">
        <v>46082</v>
      </c>
      <c r="E8" s="15">
        <v>46446</v>
      </c>
      <c r="F8" s="10">
        <v>1</v>
      </c>
      <c r="G8" s="10" t="s">
        <v>47</v>
      </c>
    </row>
    <row r="9" spans="1:7">
      <c r="A9" s="10" t="s">
        <v>64</v>
      </c>
      <c r="B9" s="10" t="s">
        <v>60</v>
      </c>
      <c r="C9" s="10">
        <v>170</v>
      </c>
      <c r="D9" s="15">
        <v>46082</v>
      </c>
      <c r="E9" s="15">
        <v>46446</v>
      </c>
      <c r="F9" s="10">
        <v>1</v>
      </c>
      <c r="G9" s="10" t="s">
        <v>47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22E25-DA78-43B7-A81A-7EEE2E2FD7EA}">
  <dimension ref="A1:B8"/>
  <sheetViews>
    <sheetView workbookViewId="0"/>
  </sheetViews>
  <sheetFormatPr defaultRowHeight="14.25"/>
  <cols>
    <col min="1" max="1" width="14.73046875" bestFit="1" customWidth="1"/>
    <col min="2" max="2" width="13.46484375" bestFit="1" customWidth="1"/>
  </cols>
  <sheetData>
    <row r="1" spans="1:2">
      <c r="A1" t="s">
        <v>13</v>
      </c>
      <c r="B1" t="s">
        <v>15</v>
      </c>
    </row>
    <row r="2" spans="1:2">
      <c r="A2" t="s">
        <v>62</v>
      </c>
      <c r="B2" t="s">
        <v>32</v>
      </c>
    </row>
    <row r="3" spans="1:2">
      <c r="A3" t="s">
        <v>62</v>
      </c>
      <c r="B3" t="s">
        <v>33</v>
      </c>
    </row>
    <row r="4" spans="1:2">
      <c r="A4" t="s">
        <v>62</v>
      </c>
      <c r="B4" t="s">
        <v>34</v>
      </c>
    </row>
    <row r="5" spans="1:2">
      <c r="A5" t="s">
        <v>63</v>
      </c>
      <c r="B5" t="s">
        <v>33</v>
      </c>
    </row>
    <row r="6" spans="1:2">
      <c r="A6" t="s">
        <v>63</v>
      </c>
      <c r="B6" t="s">
        <v>35</v>
      </c>
    </row>
    <row r="7" spans="1:2">
      <c r="A7" t="s">
        <v>64</v>
      </c>
      <c r="B7" t="s">
        <v>32</v>
      </c>
    </row>
    <row r="8" spans="1:2">
      <c r="A8" t="s">
        <v>64</v>
      </c>
      <c r="B8" t="s">
        <v>35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56E4F-0AD7-4427-8643-902E8F6E05C5}">
  <dimension ref="A1:B8"/>
  <sheetViews>
    <sheetView workbookViewId="0">
      <selection activeCell="B4" sqref="B4"/>
    </sheetView>
  </sheetViews>
  <sheetFormatPr defaultRowHeight="14.25"/>
  <cols>
    <col min="1" max="1" width="20.265625" style="16" bestFit="1" customWidth="1"/>
    <col min="2" max="2" width="18.73046875" style="16" bestFit="1" customWidth="1"/>
  </cols>
  <sheetData>
    <row r="1" spans="1:2" ht="18">
      <c r="A1" s="14" t="s">
        <v>13</v>
      </c>
      <c r="B1" s="14" t="s">
        <v>15</v>
      </c>
    </row>
    <row r="2" spans="1:2">
      <c r="A2" s="10" t="s">
        <v>62</v>
      </c>
      <c r="B2" s="10" t="s">
        <v>32</v>
      </c>
    </row>
    <row r="3" spans="1:2">
      <c r="A3" s="10" t="s">
        <v>62</v>
      </c>
      <c r="B3" s="10" t="s">
        <v>33</v>
      </c>
    </row>
    <row r="4" spans="1:2">
      <c r="A4" s="10" t="s">
        <v>62</v>
      </c>
      <c r="B4" s="10" t="s">
        <v>34</v>
      </c>
    </row>
    <row r="5" spans="1:2">
      <c r="A5" s="10" t="s">
        <v>63</v>
      </c>
      <c r="B5" s="10" t="s">
        <v>33</v>
      </c>
    </row>
    <row r="6" spans="1:2">
      <c r="A6" s="10" t="s">
        <v>63</v>
      </c>
      <c r="B6" s="10" t="s">
        <v>35</v>
      </c>
    </row>
    <row r="7" spans="1:2">
      <c r="A7" s="10" t="s">
        <v>64</v>
      </c>
      <c r="B7" s="10" t="s">
        <v>32</v>
      </c>
    </row>
    <row r="8" spans="1:2">
      <c r="A8" s="10" t="s">
        <v>64</v>
      </c>
      <c r="B8" s="10" t="s">
        <v>35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73098-B114-44FB-B234-3C12A0A0A5CF}">
  <dimension ref="A1:C5"/>
  <sheetViews>
    <sheetView workbookViewId="0">
      <selection activeCell="B1" sqref="B1"/>
    </sheetView>
  </sheetViews>
  <sheetFormatPr defaultRowHeight="14.25"/>
  <cols>
    <col min="1" max="1" width="13.46484375" bestFit="1" customWidth="1"/>
    <col min="2" max="2" width="20.06640625" bestFit="1" customWidth="1"/>
    <col min="3" max="3" width="10" bestFit="1" customWidth="1"/>
  </cols>
  <sheetData>
    <row r="1" spans="1:3">
      <c r="A1" t="s">
        <v>15</v>
      </c>
      <c r="B1" t="s">
        <v>22</v>
      </c>
      <c r="C1" t="s">
        <v>16</v>
      </c>
    </row>
    <row r="2" spans="1:3">
      <c r="A2" t="s">
        <v>32</v>
      </c>
      <c r="B2" t="s">
        <v>36</v>
      </c>
      <c r="C2" t="s">
        <v>40</v>
      </c>
    </row>
    <row r="3" spans="1:3">
      <c r="A3" t="s">
        <v>33</v>
      </c>
      <c r="B3" t="s">
        <v>37</v>
      </c>
      <c r="C3" t="s">
        <v>41</v>
      </c>
    </row>
    <row r="4" spans="1:3">
      <c r="A4" t="s">
        <v>34</v>
      </c>
      <c r="B4" t="s">
        <v>38</v>
      </c>
      <c r="C4" t="s">
        <v>42</v>
      </c>
    </row>
    <row r="5" spans="1:3">
      <c r="A5" t="s">
        <v>35</v>
      </c>
      <c r="B5" t="s">
        <v>39</v>
      </c>
      <c r="C5" t="s">
        <v>43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BBAF4-C4A5-4708-91F5-5AE14B7C4744}">
  <dimension ref="A1:C6"/>
  <sheetViews>
    <sheetView workbookViewId="0">
      <selection activeCell="B3" sqref="B3"/>
    </sheetView>
  </sheetViews>
  <sheetFormatPr defaultRowHeight="14.25"/>
  <cols>
    <col min="1" max="1" width="16.53125" bestFit="1" customWidth="1"/>
    <col min="2" max="2" width="20.46484375" bestFit="1" customWidth="1"/>
    <col min="3" max="3" width="10.19921875" bestFit="1" customWidth="1"/>
  </cols>
  <sheetData>
    <row r="1" spans="1:3" ht="18">
      <c r="A1" s="3" t="s">
        <v>15</v>
      </c>
      <c r="B1" s="3" t="s">
        <v>22</v>
      </c>
      <c r="C1" s="3" t="s">
        <v>16</v>
      </c>
    </row>
    <row r="2" spans="1:3">
      <c r="A2" t="s">
        <v>32</v>
      </c>
      <c r="B2" t="s">
        <v>36</v>
      </c>
      <c r="C2" t="s">
        <v>40</v>
      </c>
    </row>
    <row r="3" spans="1:3">
      <c r="A3" t="s">
        <v>33</v>
      </c>
      <c r="B3" t="s">
        <v>37</v>
      </c>
      <c r="C3" t="s">
        <v>41</v>
      </c>
    </row>
    <row r="4" spans="1:3">
      <c r="A4" t="s">
        <v>34</v>
      </c>
      <c r="B4" s="9" t="s">
        <v>38</v>
      </c>
      <c r="C4" t="s">
        <v>42</v>
      </c>
    </row>
    <row r="5" spans="1:3">
      <c r="A5" t="s">
        <v>35</v>
      </c>
      <c r="B5" t="s">
        <v>39</v>
      </c>
      <c r="C5" s="9" t="s">
        <v>43</v>
      </c>
    </row>
    <row r="6" spans="1:3">
      <c r="C6" s="9"/>
    </row>
  </sheetData>
  <phoneticPr fontId="6"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1E126-7E64-460E-8390-C1DBC9B3B7A5}">
  <dimension ref="A1:G7"/>
  <sheetViews>
    <sheetView workbookViewId="0"/>
  </sheetViews>
  <sheetFormatPr defaultRowHeight="14.25"/>
  <cols>
    <col min="1" max="1" width="12.3984375" bestFit="1" customWidth="1"/>
    <col min="2" max="2" width="20.06640625" bestFit="1" customWidth="1"/>
    <col min="3" max="3" width="17" bestFit="1" customWidth="1"/>
    <col min="4" max="4" width="10.86328125" bestFit="1" customWidth="1"/>
    <col min="5" max="5" width="12.19921875" bestFit="1" customWidth="1"/>
    <col min="6" max="6" width="11.265625" bestFit="1" customWidth="1"/>
    <col min="7" max="7" width="10.1328125" bestFit="1" customWidth="1"/>
  </cols>
  <sheetData>
    <row r="1" spans="1:7">
      <c r="A1" t="s">
        <v>17</v>
      </c>
      <c r="B1" t="s">
        <v>23</v>
      </c>
      <c r="C1" t="s">
        <v>18</v>
      </c>
      <c r="D1" t="s">
        <v>24</v>
      </c>
      <c r="E1" t="s">
        <v>25</v>
      </c>
      <c r="F1" t="s">
        <v>65</v>
      </c>
      <c r="G1" t="s">
        <v>30</v>
      </c>
    </row>
    <row r="2" spans="1:7">
      <c r="A2" t="s">
        <v>44</v>
      </c>
      <c r="B2" t="s">
        <v>45</v>
      </c>
      <c r="C2" t="s">
        <v>46</v>
      </c>
      <c r="D2">
        <v>60</v>
      </c>
      <c r="E2">
        <v>120</v>
      </c>
      <c r="F2">
        <v>1</v>
      </c>
      <c r="G2" t="s">
        <v>47</v>
      </c>
    </row>
    <row r="3" spans="1:7">
      <c r="A3" t="s">
        <v>48</v>
      </c>
      <c r="B3" t="s">
        <v>49</v>
      </c>
      <c r="C3" t="s">
        <v>50</v>
      </c>
      <c r="D3">
        <v>90</v>
      </c>
      <c r="E3">
        <v>180</v>
      </c>
      <c r="F3">
        <v>1</v>
      </c>
      <c r="G3" t="s">
        <v>47</v>
      </c>
    </row>
    <row r="4" spans="1:7">
      <c r="A4" t="s">
        <v>51</v>
      </c>
      <c r="B4" t="s">
        <v>52</v>
      </c>
      <c r="C4" t="s">
        <v>53</v>
      </c>
      <c r="D4">
        <v>125</v>
      </c>
      <c r="E4">
        <v>250</v>
      </c>
      <c r="F4">
        <v>1</v>
      </c>
      <c r="G4" t="s">
        <v>47</v>
      </c>
    </row>
    <row r="5" spans="1:7">
      <c r="A5" t="s">
        <v>54</v>
      </c>
      <c r="B5" t="s">
        <v>55</v>
      </c>
      <c r="C5" t="s">
        <v>56</v>
      </c>
      <c r="D5">
        <v>75</v>
      </c>
      <c r="E5">
        <v>15000</v>
      </c>
      <c r="F5">
        <v>100</v>
      </c>
      <c r="G5" t="s">
        <v>47</v>
      </c>
    </row>
    <row r="6" spans="1:7">
      <c r="A6" t="s">
        <v>57</v>
      </c>
      <c r="B6" t="s">
        <v>58</v>
      </c>
      <c r="C6" t="s">
        <v>59</v>
      </c>
      <c r="D6">
        <v>45</v>
      </c>
      <c r="E6">
        <v>90</v>
      </c>
      <c r="F6">
        <v>1</v>
      </c>
      <c r="G6" t="s">
        <v>47</v>
      </c>
    </row>
    <row r="7" spans="1:7">
      <c r="A7" t="s">
        <v>60</v>
      </c>
      <c r="B7" t="s">
        <v>61</v>
      </c>
      <c r="C7" t="s">
        <v>53</v>
      </c>
      <c r="D7">
        <v>180</v>
      </c>
      <c r="E7">
        <v>200</v>
      </c>
      <c r="F7">
        <v>1</v>
      </c>
      <c r="G7" t="s">
        <v>47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0F4BD-F142-4BE1-AFA8-5E92CAB4E0D0}">
  <dimension ref="A1:G7"/>
  <sheetViews>
    <sheetView workbookViewId="0">
      <selection activeCell="D8" sqref="D8"/>
    </sheetView>
  </sheetViews>
  <sheetFormatPr defaultRowHeight="14.25"/>
  <cols>
    <col min="1" max="1" width="15.265625" bestFit="1" customWidth="1"/>
    <col min="2" max="2" width="24.9296875" bestFit="1" customWidth="1"/>
    <col min="3" max="3" width="19.59765625" bestFit="1" customWidth="1"/>
    <col min="4" max="4" width="13.19921875" bestFit="1" customWidth="1"/>
    <col min="5" max="5" width="14.86328125" bestFit="1" customWidth="1"/>
    <col min="6" max="6" width="13.73046875" bestFit="1" customWidth="1"/>
    <col min="7" max="7" width="12.265625" bestFit="1" customWidth="1"/>
  </cols>
  <sheetData>
    <row r="1" spans="1:7" ht="18">
      <c r="A1" s="3" t="s">
        <v>17</v>
      </c>
      <c r="B1" s="3" t="s">
        <v>23</v>
      </c>
      <c r="C1" s="3" t="s">
        <v>18</v>
      </c>
      <c r="D1" s="3" t="s">
        <v>24</v>
      </c>
      <c r="E1" s="3" t="s">
        <v>25</v>
      </c>
      <c r="F1" s="3" t="s">
        <v>65</v>
      </c>
      <c r="G1" s="3" t="s">
        <v>30</v>
      </c>
    </row>
    <row r="2" spans="1:7">
      <c r="A2" s="9" t="s">
        <v>44</v>
      </c>
      <c r="B2" s="9" t="s">
        <v>45</v>
      </c>
      <c r="C2" s="9" t="s">
        <v>46</v>
      </c>
      <c r="D2" s="12">
        <v>60</v>
      </c>
      <c r="E2" s="12">
        <v>120</v>
      </c>
      <c r="F2" s="9">
        <v>1</v>
      </c>
      <c r="G2" s="9" t="s">
        <v>47</v>
      </c>
    </row>
    <row r="3" spans="1:7">
      <c r="A3" s="9" t="s">
        <v>48</v>
      </c>
      <c r="B3" s="9" t="s">
        <v>49</v>
      </c>
      <c r="C3" s="9" t="s">
        <v>50</v>
      </c>
      <c r="D3" s="12">
        <v>90</v>
      </c>
      <c r="E3" s="12">
        <v>180</v>
      </c>
      <c r="F3" s="9">
        <v>1</v>
      </c>
      <c r="G3" s="9" t="s">
        <v>47</v>
      </c>
    </row>
    <row r="4" spans="1:7">
      <c r="A4" s="9" t="s">
        <v>51</v>
      </c>
      <c r="B4" s="9" t="s">
        <v>52</v>
      </c>
      <c r="C4" s="9" t="s">
        <v>53</v>
      </c>
      <c r="D4" s="12">
        <v>125</v>
      </c>
      <c r="E4" s="12">
        <v>250</v>
      </c>
      <c r="F4" s="9">
        <v>1</v>
      </c>
      <c r="G4" s="9" t="s">
        <v>47</v>
      </c>
    </row>
    <row r="5" spans="1:7">
      <c r="A5" s="9" t="s">
        <v>54</v>
      </c>
      <c r="B5" s="9" t="s">
        <v>55</v>
      </c>
      <c r="C5" s="9" t="s">
        <v>56</v>
      </c>
      <c r="D5" s="12">
        <v>75</v>
      </c>
      <c r="E5" s="12">
        <v>15000</v>
      </c>
      <c r="F5" s="9">
        <v>100</v>
      </c>
      <c r="G5" s="9" t="s">
        <v>47</v>
      </c>
    </row>
    <row r="6" spans="1:7">
      <c r="A6" s="9" t="s">
        <v>57</v>
      </c>
      <c r="B6" s="9" t="s">
        <v>58</v>
      </c>
      <c r="C6" s="9" t="s">
        <v>59</v>
      </c>
      <c r="D6" s="12">
        <v>45</v>
      </c>
      <c r="E6" s="12">
        <v>90</v>
      </c>
      <c r="F6" s="9">
        <v>1</v>
      </c>
      <c r="G6" s="9" t="s">
        <v>47</v>
      </c>
    </row>
    <row r="7" spans="1:7">
      <c r="A7" s="9" t="s">
        <v>60</v>
      </c>
      <c r="B7" s="9" t="s">
        <v>61</v>
      </c>
      <c r="C7" s="9" t="s">
        <v>53</v>
      </c>
      <c r="D7" s="12">
        <v>180</v>
      </c>
      <c r="E7" s="12">
        <v>200</v>
      </c>
      <c r="F7" s="9">
        <v>1</v>
      </c>
      <c r="G7" s="9" t="s">
        <v>47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61251-E4F4-4762-A69D-96F8DED01E3E}">
  <dimension ref="A1:I19"/>
  <sheetViews>
    <sheetView workbookViewId="0"/>
  </sheetViews>
  <sheetFormatPr defaultRowHeight="14.25"/>
  <cols>
    <col min="1" max="1" width="13.46484375" bestFit="1" customWidth="1"/>
    <col min="2" max="2" width="12.3984375" bestFit="1" customWidth="1"/>
    <col min="3" max="3" width="13.46484375" bestFit="1" customWidth="1"/>
    <col min="4" max="4" width="11.59765625" bestFit="1" customWidth="1"/>
    <col min="5" max="6" width="15.796875" bestFit="1" customWidth="1"/>
    <col min="7" max="7" width="11.9296875" bestFit="1" customWidth="1"/>
    <col min="8" max="8" width="10.1328125" bestFit="1" customWidth="1"/>
    <col min="9" max="9" width="11.265625" bestFit="1" customWidth="1"/>
  </cols>
  <sheetData>
    <row r="1" spans="1:9">
      <c r="A1" t="s">
        <v>15</v>
      </c>
      <c r="B1" t="s">
        <v>17</v>
      </c>
      <c r="C1" t="s">
        <v>31</v>
      </c>
      <c r="D1" t="s">
        <v>26</v>
      </c>
      <c r="E1" t="s">
        <v>27</v>
      </c>
      <c r="F1" t="s">
        <v>28</v>
      </c>
      <c r="G1" t="s">
        <v>29</v>
      </c>
      <c r="H1" t="s">
        <v>30</v>
      </c>
      <c r="I1" t="s">
        <v>65</v>
      </c>
    </row>
    <row r="2" spans="1:9">
      <c r="A2" t="s">
        <v>32</v>
      </c>
      <c r="B2" t="s">
        <v>44</v>
      </c>
      <c r="C2" t="s">
        <v>66</v>
      </c>
      <c r="D2">
        <v>80</v>
      </c>
      <c r="G2">
        <v>110</v>
      </c>
      <c r="H2" t="s">
        <v>47</v>
      </c>
      <c r="I2">
        <v>1</v>
      </c>
    </row>
    <row r="3" spans="1:9">
      <c r="A3" t="s">
        <v>32</v>
      </c>
      <c r="B3" t="s">
        <v>48</v>
      </c>
      <c r="C3" t="s">
        <v>66</v>
      </c>
      <c r="D3">
        <v>140</v>
      </c>
      <c r="G3">
        <v>170</v>
      </c>
      <c r="H3" t="s">
        <v>47</v>
      </c>
      <c r="I3">
        <v>1</v>
      </c>
    </row>
    <row r="4" spans="1:9">
      <c r="A4" t="s">
        <v>32</v>
      </c>
      <c r="B4" t="s">
        <v>51</v>
      </c>
      <c r="C4" t="s">
        <v>66</v>
      </c>
      <c r="D4">
        <v>220</v>
      </c>
      <c r="G4">
        <v>230</v>
      </c>
      <c r="H4" t="s">
        <v>47</v>
      </c>
      <c r="I4">
        <v>1</v>
      </c>
    </row>
    <row r="5" spans="1:9">
      <c r="A5" t="s">
        <v>32</v>
      </c>
      <c r="B5" t="s">
        <v>54</v>
      </c>
      <c r="C5" t="s">
        <v>67</v>
      </c>
      <c r="E5">
        <v>0.95</v>
      </c>
      <c r="G5">
        <v>145</v>
      </c>
      <c r="H5" t="s">
        <v>47</v>
      </c>
      <c r="I5">
        <v>1</v>
      </c>
    </row>
    <row r="6" spans="1:9">
      <c r="A6" t="s">
        <v>32</v>
      </c>
      <c r="B6" t="s">
        <v>60</v>
      </c>
      <c r="C6" t="s">
        <v>67</v>
      </c>
      <c r="E6">
        <v>0.9</v>
      </c>
      <c r="G6">
        <v>195</v>
      </c>
      <c r="H6" t="s">
        <v>47</v>
      </c>
      <c r="I6">
        <v>1</v>
      </c>
    </row>
    <row r="7" spans="1:9">
      <c r="A7" t="s">
        <v>33</v>
      </c>
      <c r="B7" t="s">
        <v>44</v>
      </c>
      <c r="C7" t="s">
        <v>67</v>
      </c>
      <c r="E7">
        <v>0.8</v>
      </c>
      <c r="G7">
        <v>110</v>
      </c>
      <c r="H7" t="s">
        <v>47</v>
      </c>
      <c r="I7">
        <v>1</v>
      </c>
    </row>
    <row r="8" spans="1:9">
      <c r="A8" t="s">
        <v>33</v>
      </c>
      <c r="B8" t="s">
        <v>48</v>
      </c>
      <c r="C8" t="s">
        <v>67</v>
      </c>
      <c r="E8">
        <v>0.8</v>
      </c>
      <c r="G8">
        <v>170</v>
      </c>
      <c r="H8" t="s">
        <v>47</v>
      </c>
      <c r="I8">
        <v>1</v>
      </c>
    </row>
    <row r="9" spans="1:9">
      <c r="A9" t="s">
        <v>33</v>
      </c>
      <c r="B9" t="s">
        <v>51</v>
      </c>
      <c r="C9" t="s">
        <v>68</v>
      </c>
      <c r="F9">
        <v>0.88</v>
      </c>
      <c r="G9">
        <v>230</v>
      </c>
      <c r="H9" t="s">
        <v>47</v>
      </c>
      <c r="I9">
        <v>1</v>
      </c>
    </row>
    <row r="10" spans="1:9">
      <c r="A10" t="s">
        <v>33</v>
      </c>
      <c r="B10" t="s">
        <v>54</v>
      </c>
      <c r="C10" t="s">
        <v>66</v>
      </c>
      <c r="D10">
        <v>130</v>
      </c>
      <c r="G10">
        <v>145</v>
      </c>
      <c r="H10" t="s">
        <v>47</v>
      </c>
      <c r="I10">
        <v>1</v>
      </c>
    </row>
    <row r="11" spans="1:9">
      <c r="A11" t="s">
        <v>33</v>
      </c>
      <c r="B11" t="s">
        <v>57</v>
      </c>
      <c r="C11" t="s">
        <v>68</v>
      </c>
      <c r="F11">
        <v>0.9</v>
      </c>
      <c r="G11">
        <v>85</v>
      </c>
      <c r="H11" t="s">
        <v>47</v>
      </c>
      <c r="I11">
        <v>1</v>
      </c>
    </row>
    <row r="12" spans="1:9">
      <c r="A12" t="s">
        <v>34</v>
      </c>
      <c r="B12" t="s">
        <v>44</v>
      </c>
      <c r="C12" t="s">
        <v>68</v>
      </c>
      <c r="F12">
        <v>0.7</v>
      </c>
      <c r="G12">
        <v>110</v>
      </c>
      <c r="H12" t="s">
        <v>47</v>
      </c>
      <c r="I12">
        <v>1</v>
      </c>
    </row>
    <row r="13" spans="1:9">
      <c r="A13" t="s">
        <v>34</v>
      </c>
      <c r="B13" t="s">
        <v>48</v>
      </c>
      <c r="C13" t="s">
        <v>68</v>
      </c>
      <c r="F13">
        <v>0.8</v>
      </c>
      <c r="G13">
        <v>170</v>
      </c>
      <c r="H13" t="s">
        <v>47</v>
      </c>
      <c r="I13">
        <v>1</v>
      </c>
    </row>
    <row r="14" spans="1:9">
      <c r="A14" t="s">
        <v>34</v>
      </c>
      <c r="B14" t="s">
        <v>51</v>
      </c>
      <c r="C14" t="s">
        <v>67</v>
      </c>
      <c r="E14">
        <v>0.8</v>
      </c>
      <c r="G14">
        <v>230</v>
      </c>
      <c r="H14" t="s">
        <v>47</v>
      </c>
      <c r="I14">
        <v>1</v>
      </c>
    </row>
    <row r="15" spans="1:9">
      <c r="A15" t="s">
        <v>34</v>
      </c>
      <c r="B15" t="s">
        <v>54</v>
      </c>
      <c r="C15" t="s">
        <v>67</v>
      </c>
      <c r="E15">
        <v>0.8</v>
      </c>
      <c r="G15">
        <v>145</v>
      </c>
      <c r="H15" t="s">
        <v>47</v>
      </c>
      <c r="I15">
        <v>1</v>
      </c>
    </row>
    <row r="16" spans="1:9">
      <c r="A16" t="s">
        <v>35</v>
      </c>
      <c r="B16" t="s">
        <v>44</v>
      </c>
      <c r="C16" t="s">
        <v>66</v>
      </c>
      <c r="D16">
        <v>100</v>
      </c>
      <c r="G16">
        <v>110</v>
      </c>
      <c r="H16" t="s">
        <v>47</v>
      </c>
      <c r="I16">
        <v>1</v>
      </c>
    </row>
    <row r="17" spans="1:9">
      <c r="A17" t="s">
        <v>35</v>
      </c>
      <c r="B17" t="s">
        <v>51</v>
      </c>
      <c r="C17" t="s">
        <v>69</v>
      </c>
      <c r="G17">
        <v>230</v>
      </c>
      <c r="H17" t="s">
        <v>47</v>
      </c>
      <c r="I17">
        <v>1</v>
      </c>
    </row>
    <row r="18" spans="1:9">
      <c r="A18" t="s">
        <v>35</v>
      </c>
      <c r="B18" t="s">
        <v>57</v>
      </c>
      <c r="C18" t="s">
        <v>67</v>
      </c>
      <c r="E18">
        <v>0.88</v>
      </c>
      <c r="G18">
        <v>85</v>
      </c>
      <c r="H18" t="s">
        <v>47</v>
      </c>
      <c r="I18">
        <v>1</v>
      </c>
    </row>
    <row r="19" spans="1:9">
      <c r="A19" t="s">
        <v>35</v>
      </c>
      <c r="B19" t="s">
        <v>60</v>
      </c>
      <c r="C19" t="s">
        <v>69</v>
      </c>
      <c r="G19">
        <v>195</v>
      </c>
      <c r="H19" t="s">
        <v>47</v>
      </c>
      <c r="I19">
        <v>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16706-EEDD-4AA7-8AC2-1EFC57C55F6B}">
  <dimension ref="A1:I19"/>
  <sheetViews>
    <sheetView workbookViewId="0">
      <selection activeCell="E11" sqref="E11"/>
    </sheetView>
  </sheetViews>
  <sheetFormatPr defaultRowHeight="14.25"/>
  <cols>
    <col min="1" max="1" width="16" customWidth="1"/>
    <col min="2" max="2" width="14.73046875" customWidth="1"/>
    <col min="3" max="3" width="16.1328125" customWidth="1"/>
    <col min="4" max="4" width="13.6640625" customWidth="1"/>
    <col min="5" max="5" width="19" customWidth="1"/>
    <col min="6" max="6" width="19.06640625" customWidth="1"/>
    <col min="7" max="7" width="14.1328125" customWidth="1"/>
    <col min="8" max="8" width="11.796875" customWidth="1"/>
    <col min="9" max="9" width="13.265625" customWidth="1"/>
  </cols>
  <sheetData>
    <row r="1" spans="1:9" s="3" customFormat="1" ht="18">
      <c r="A1" s="14" t="s">
        <v>15</v>
      </c>
      <c r="B1" s="14" t="s">
        <v>17</v>
      </c>
      <c r="C1" s="14" t="s">
        <v>31</v>
      </c>
      <c r="D1" s="14" t="s">
        <v>26</v>
      </c>
      <c r="E1" s="14" t="s">
        <v>27</v>
      </c>
      <c r="F1" s="14" t="s">
        <v>28</v>
      </c>
      <c r="G1" s="14" t="s">
        <v>29</v>
      </c>
      <c r="H1" s="14" t="s">
        <v>30</v>
      </c>
      <c r="I1" s="14" t="s">
        <v>65</v>
      </c>
    </row>
    <row r="2" spans="1:9">
      <c r="A2" s="10" t="s">
        <v>32</v>
      </c>
      <c r="B2" s="10" t="s">
        <v>44</v>
      </c>
      <c r="C2" s="10" t="s">
        <v>66</v>
      </c>
      <c r="D2" s="10">
        <v>80</v>
      </c>
      <c r="E2" s="10"/>
      <c r="F2" s="10"/>
      <c r="G2" s="10">
        <v>110</v>
      </c>
      <c r="H2" s="10" t="s">
        <v>47</v>
      </c>
      <c r="I2" s="10">
        <v>1</v>
      </c>
    </row>
    <row r="3" spans="1:9">
      <c r="A3" s="10" t="s">
        <v>32</v>
      </c>
      <c r="B3" s="10" t="s">
        <v>48</v>
      </c>
      <c r="C3" s="10" t="s">
        <v>66</v>
      </c>
      <c r="D3" s="10">
        <v>140</v>
      </c>
      <c r="E3" s="10"/>
      <c r="F3" s="10"/>
      <c r="G3" s="10">
        <v>170</v>
      </c>
      <c r="H3" s="10" t="s">
        <v>47</v>
      </c>
      <c r="I3" s="10">
        <v>1</v>
      </c>
    </row>
    <row r="4" spans="1:9">
      <c r="A4" s="10" t="s">
        <v>32</v>
      </c>
      <c r="B4" s="10" t="s">
        <v>51</v>
      </c>
      <c r="C4" s="10" t="s">
        <v>66</v>
      </c>
      <c r="D4" s="10">
        <v>220</v>
      </c>
      <c r="E4" s="10"/>
      <c r="F4" s="10"/>
      <c r="G4" s="10">
        <v>230</v>
      </c>
      <c r="H4" s="10" t="s">
        <v>47</v>
      </c>
      <c r="I4" s="10">
        <v>1</v>
      </c>
    </row>
    <row r="5" spans="1:9">
      <c r="A5" s="10" t="s">
        <v>32</v>
      </c>
      <c r="B5" s="10" t="s">
        <v>54</v>
      </c>
      <c r="C5" s="10" t="s">
        <v>67</v>
      </c>
      <c r="D5" s="10"/>
      <c r="E5" s="10">
        <v>0.95</v>
      </c>
      <c r="F5" s="10"/>
      <c r="G5" s="10">
        <v>145</v>
      </c>
      <c r="H5" s="10" t="s">
        <v>47</v>
      </c>
      <c r="I5" s="10">
        <v>1</v>
      </c>
    </row>
    <row r="6" spans="1:9">
      <c r="A6" s="10" t="s">
        <v>32</v>
      </c>
      <c r="B6" s="10" t="s">
        <v>60</v>
      </c>
      <c r="C6" s="10" t="s">
        <v>67</v>
      </c>
      <c r="D6" s="10"/>
      <c r="E6" s="10">
        <v>0.9</v>
      </c>
      <c r="F6" s="10"/>
      <c r="G6" s="10">
        <v>195</v>
      </c>
      <c r="H6" s="10" t="s">
        <v>47</v>
      </c>
      <c r="I6" s="10">
        <v>1</v>
      </c>
    </row>
    <row r="7" spans="1:9">
      <c r="A7" s="10" t="s">
        <v>33</v>
      </c>
      <c r="B7" s="10" t="s">
        <v>44</v>
      </c>
      <c r="C7" s="10" t="s">
        <v>67</v>
      </c>
      <c r="D7" s="10"/>
      <c r="E7" s="10">
        <v>0.8</v>
      </c>
      <c r="F7" s="10"/>
      <c r="G7" s="10">
        <v>110</v>
      </c>
      <c r="H7" s="10" t="s">
        <v>47</v>
      </c>
      <c r="I7" s="10">
        <v>1</v>
      </c>
    </row>
    <row r="8" spans="1:9">
      <c r="A8" s="10" t="s">
        <v>33</v>
      </c>
      <c r="B8" s="10" t="s">
        <v>48</v>
      </c>
      <c r="C8" s="10" t="s">
        <v>67</v>
      </c>
      <c r="D8" s="10"/>
      <c r="E8" s="10">
        <v>0.8</v>
      </c>
      <c r="F8" s="10"/>
      <c r="G8" s="10">
        <v>170</v>
      </c>
      <c r="H8" s="10" t="s">
        <v>47</v>
      </c>
      <c r="I8" s="10">
        <v>1</v>
      </c>
    </row>
    <row r="9" spans="1:9">
      <c r="A9" s="10" t="s">
        <v>33</v>
      </c>
      <c r="B9" s="10" t="s">
        <v>51</v>
      </c>
      <c r="C9" s="10" t="s">
        <v>68</v>
      </c>
      <c r="D9" s="10"/>
      <c r="E9" s="10"/>
      <c r="F9" s="10">
        <v>0.88</v>
      </c>
      <c r="G9" s="10">
        <v>230</v>
      </c>
      <c r="H9" s="10" t="s">
        <v>47</v>
      </c>
      <c r="I9" s="10">
        <v>1</v>
      </c>
    </row>
    <row r="10" spans="1:9">
      <c r="A10" s="10" t="s">
        <v>33</v>
      </c>
      <c r="B10" s="10" t="s">
        <v>54</v>
      </c>
      <c r="C10" s="10" t="s">
        <v>66</v>
      </c>
      <c r="D10" s="10">
        <v>130</v>
      </c>
      <c r="E10" s="10"/>
      <c r="F10" s="10"/>
      <c r="G10" s="10">
        <v>145</v>
      </c>
      <c r="H10" s="10" t="s">
        <v>47</v>
      </c>
      <c r="I10" s="10">
        <v>1</v>
      </c>
    </row>
    <row r="11" spans="1:9">
      <c r="A11" s="10" t="s">
        <v>33</v>
      </c>
      <c r="B11" s="10" t="s">
        <v>57</v>
      </c>
      <c r="C11" s="10" t="s">
        <v>68</v>
      </c>
      <c r="D11" s="10"/>
      <c r="E11" s="10"/>
      <c r="F11" s="10">
        <v>0.9</v>
      </c>
      <c r="G11" s="10">
        <v>85</v>
      </c>
      <c r="H11" s="10" t="s">
        <v>47</v>
      </c>
      <c r="I11" s="10">
        <v>1</v>
      </c>
    </row>
    <row r="12" spans="1:9">
      <c r="A12" s="10" t="s">
        <v>34</v>
      </c>
      <c r="B12" s="10" t="s">
        <v>44</v>
      </c>
      <c r="C12" s="10" t="s">
        <v>68</v>
      </c>
      <c r="D12" s="10"/>
      <c r="E12" s="10"/>
      <c r="F12" s="10">
        <v>0.7</v>
      </c>
      <c r="G12" s="10">
        <v>110</v>
      </c>
      <c r="H12" s="10" t="s">
        <v>47</v>
      </c>
      <c r="I12" s="10">
        <v>1</v>
      </c>
    </row>
    <row r="13" spans="1:9">
      <c r="A13" s="10" t="s">
        <v>34</v>
      </c>
      <c r="B13" s="10" t="s">
        <v>48</v>
      </c>
      <c r="C13" s="10" t="s">
        <v>68</v>
      </c>
      <c r="D13" s="10"/>
      <c r="E13" s="10"/>
      <c r="F13" s="10">
        <v>0.8</v>
      </c>
      <c r="G13" s="10">
        <v>170</v>
      </c>
      <c r="H13" s="10" t="s">
        <v>47</v>
      </c>
      <c r="I13" s="10">
        <v>1</v>
      </c>
    </row>
    <row r="14" spans="1:9">
      <c r="A14" s="10" t="s">
        <v>34</v>
      </c>
      <c r="B14" s="10" t="s">
        <v>51</v>
      </c>
      <c r="C14" s="10" t="s">
        <v>67</v>
      </c>
      <c r="D14" s="10"/>
      <c r="E14" s="10">
        <v>0.8</v>
      </c>
      <c r="F14" s="10"/>
      <c r="G14" s="10">
        <v>230</v>
      </c>
      <c r="H14" s="10" t="s">
        <v>47</v>
      </c>
      <c r="I14" s="10">
        <v>1</v>
      </c>
    </row>
    <row r="15" spans="1:9">
      <c r="A15" s="10" t="s">
        <v>34</v>
      </c>
      <c r="B15" s="10" t="s">
        <v>54</v>
      </c>
      <c r="C15" s="10" t="s">
        <v>67</v>
      </c>
      <c r="D15" s="10"/>
      <c r="E15" s="10">
        <v>0.8</v>
      </c>
      <c r="F15" s="10"/>
      <c r="G15" s="10">
        <v>145</v>
      </c>
      <c r="H15" s="10" t="s">
        <v>47</v>
      </c>
      <c r="I15" s="10">
        <v>1</v>
      </c>
    </row>
    <row r="16" spans="1:9">
      <c r="A16" s="10" t="s">
        <v>35</v>
      </c>
      <c r="B16" s="10" t="s">
        <v>44</v>
      </c>
      <c r="C16" s="10" t="s">
        <v>66</v>
      </c>
      <c r="D16" s="10">
        <v>100</v>
      </c>
      <c r="E16" s="10"/>
      <c r="F16" s="10"/>
      <c r="G16" s="10">
        <v>110</v>
      </c>
      <c r="H16" s="10" t="s">
        <v>47</v>
      </c>
      <c r="I16" s="10">
        <v>1</v>
      </c>
    </row>
    <row r="17" spans="1:9">
      <c r="A17" s="10" t="s">
        <v>35</v>
      </c>
      <c r="B17" s="10" t="s">
        <v>51</v>
      </c>
      <c r="C17" s="10" t="s">
        <v>69</v>
      </c>
      <c r="D17" s="10"/>
      <c r="E17" s="10"/>
      <c r="F17" s="10"/>
      <c r="G17" s="10">
        <v>230</v>
      </c>
      <c r="H17" s="10" t="s">
        <v>47</v>
      </c>
      <c r="I17" s="10">
        <v>1</v>
      </c>
    </row>
    <row r="18" spans="1:9">
      <c r="A18" s="10" t="s">
        <v>35</v>
      </c>
      <c r="B18" s="10" t="s">
        <v>57</v>
      </c>
      <c r="C18" s="10" t="s">
        <v>67</v>
      </c>
      <c r="D18" s="10"/>
      <c r="E18" s="10">
        <v>0.88</v>
      </c>
      <c r="F18" s="10"/>
      <c r="G18" s="10">
        <v>85</v>
      </c>
      <c r="H18" s="10" t="s">
        <v>47</v>
      </c>
      <c r="I18" s="10">
        <v>1</v>
      </c>
    </row>
    <row r="19" spans="1:9">
      <c r="A19" s="10" t="s">
        <v>35</v>
      </c>
      <c r="B19" s="10" t="s">
        <v>60</v>
      </c>
      <c r="C19" s="10" t="s">
        <v>69</v>
      </c>
      <c r="D19" s="10"/>
      <c r="E19" s="10"/>
      <c r="F19" s="10"/>
      <c r="G19" s="10">
        <v>195</v>
      </c>
      <c r="H19" s="10" t="s">
        <v>47</v>
      </c>
      <c r="I19" s="10">
        <v>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AFED8-339E-4638-BB24-B63822FD0F9F}">
  <dimension ref="A1:AI21"/>
  <sheetViews>
    <sheetView workbookViewId="0">
      <selection activeCell="H13" sqref="H13"/>
    </sheetView>
  </sheetViews>
  <sheetFormatPr defaultRowHeight="14.25"/>
  <cols>
    <col min="1" max="1" width="14.73046875" bestFit="1" customWidth="1"/>
    <col min="2" max="2" width="12.3984375" bestFit="1" customWidth="1"/>
    <col min="3" max="3" width="10.9296875" bestFit="1" customWidth="1"/>
    <col min="4" max="4" width="11.53125" style="13" bestFit="1" customWidth="1"/>
    <col min="5" max="5" width="10.73046875" style="13" bestFit="1" customWidth="1"/>
    <col min="6" max="6" width="15.3984375" bestFit="1" customWidth="1"/>
    <col min="7" max="7" width="14.19921875" bestFit="1" customWidth="1"/>
    <col min="8" max="8" width="13.46484375" bestFit="1" customWidth="1"/>
    <col min="9" max="9" width="20.06640625" bestFit="1" customWidth="1"/>
    <col min="10" max="10" width="10" bestFit="1" customWidth="1"/>
    <col min="11" max="11" width="20.06640625" bestFit="1" customWidth="1"/>
    <col min="12" max="12" width="17" bestFit="1" customWidth="1"/>
    <col min="13" max="13" width="10.86328125" bestFit="1" customWidth="1"/>
    <col min="14" max="14" width="12.19921875" bestFit="1" customWidth="1"/>
    <col min="15" max="15" width="19.1328125" bestFit="1" customWidth="1"/>
    <col min="16" max="16" width="17.9296875" bestFit="1" customWidth="1"/>
    <col min="17" max="17" width="13.46484375" bestFit="1" customWidth="1"/>
    <col min="18" max="18" width="11.59765625" bestFit="1" customWidth="1"/>
    <col min="19" max="20" width="15.796875" bestFit="1" customWidth="1"/>
    <col min="21" max="21" width="11.9296875" bestFit="1" customWidth="1"/>
    <col min="22" max="22" width="16.1328125" bestFit="1" customWidth="1"/>
    <col min="23" max="23" width="17.6640625" bestFit="1" customWidth="1"/>
    <col min="24" max="24" width="16.53125" bestFit="1" customWidth="1"/>
    <col min="25" max="25" width="15.3984375" bestFit="1" customWidth="1"/>
    <col min="26" max="26" width="21" bestFit="1" customWidth="1"/>
    <col min="27" max="27" width="13.73046875" bestFit="1" customWidth="1"/>
    <col min="28" max="28" width="16.265625" bestFit="1" customWidth="1"/>
    <col min="29" max="29" width="20" style="18" bestFit="1" customWidth="1"/>
    <col min="30" max="30" width="16" bestFit="1" customWidth="1"/>
    <col min="31" max="31" width="12.9296875" customWidth="1"/>
    <col min="32" max="32" width="15.6640625" bestFit="1" customWidth="1"/>
    <col min="33" max="33" width="13.86328125" bestFit="1" customWidth="1"/>
    <col min="34" max="34" width="12" bestFit="1" customWidth="1"/>
    <col min="35" max="35" width="13" bestFit="1" customWidth="1"/>
    <col min="36" max="36" width="11.265625" bestFit="1" customWidth="1"/>
    <col min="37" max="37" width="10.1328125" bestFit="1" customWidth="1"/>
    <col min="38" max="38" width="30.1328125" bestFit="1" customWidth="1"/>
    <col min="39" max="39" width="35.06640625" bestFit="1" customWidth="1"/>
    <col min="40" max="40" width="26.9296875" bestFit="1" customWidth="1"/>
    <col min="41" max="41" width="37.46484375" bestFit="1" customWidth="1"/>
    <col min="42" max="42" width="33.19921875" bestFit="1" customWidth="1"/>
    <col min="43" max="43" width="28.265625" bestFit="1" customWidth="1"/>
    <col min="44" max="44" width="29.59765625" bestFit="1" customWidth="1"/>
    <col min="45" max="45" width="28.6640625" bestFit="1" customWidth="1"/>
    <col min="46" max="46" width="27.53125" bestFit="1" customWidth="1"/>
    <col min="47" max="47" width="31.6640625" bestFit="1" customWidth="1"/>
    <col min="48" max="48" width="29.73046875" bestFit="1" customWidth="1"/>
    <col min="49" max="50" width="33.9296875" bestFit="1" customWidth="1"/>
    <col min="51" max="51" width="30.06640625" bestFit="1" customWidth="1"/>
    <col min="52" max="52" width="28.265625" bestFit="1" customWidth="1"/>
    <col min="53" max="53" width="29.3984375" bestFit="1" customWidth="1"/>
  </cols>
  <sheetData>
    <row r="1" spans="1:35">
      <c r="A1" t="s">
        <v>13</v>
      </c>
      <c r="B1" t="s">
        <v>17</v>
      </c>
      <c r="C1" t="s">
        <v>14</v>
      </c>
      <c r="D1" s="13" t="s">
        <v>20</v>
      </c>
      <c r="E1" s="13" t="s">
        <v>21</v>
      </c>
      <c r="F1" t="s">
        <v>70</v>
      </c>
      <c r="G1" t="s">
        <v>71</v>
      </c>
      <c r="H1" t="s">
        <v>15</v>
      </c>
      <c r="I1" t="s">
        <v>22</v>
      </c>
      <c r="J1" t="s">
        <v>16</v>
      </c>
      <c r="K1" t="s">
        <v>23</v>
      </c>
      <c r="L1" t="s">
        <v>18</v>
      </c>
      <c r="M1" t="s">
        <v>24</v>
      </c>
      <c r="N1" t="s">
        <v>25</v>
      </c>
      <c r="O1" t="s">
        <v>72</v>
      </c>
      <c r="P1" t="s">
        <v>73</v>
      </c>
      <c r="Q1" t="s">
        <v>31</v>
      </c>
      <c r="R1" t="s">
        <v>26</v>
      </c>
      <c r="S1" t="s">
        <v>27</v>
      </c>
      <c r="T1" t="s">
        <v>28</v>
      </c>
      <c r="U1" t="s">
        <v>29</v>
      </c>
      <c r="V1" t="s">
        <v>74</v>
      </c>
      <c r="W1" t="s">
        <v>75</v>
      </c>
      <c r="X1" t="s">
        <v>76</v>
      </c>
      <c r="Y1" t="s">
        <v>95</v>
      </c>
      <c r="Z1" t="s">
        <v>96</v>
      </c>
      <c r="AA1" t="s">
        <v>77</v>
      </c>
      <c r="AB1" t="s">
        <v>78</v>
      </c>
      <c r="AC1" s="18" t="s">
        <v>79</v>
      </c>
      <c r="AD1" t="s">
        <v>80</v>
      </c>
      <c r="AE1" t="s">
        <v>81</v>
      </c>
      <c r="AF1" t="s">
        <v>97</v>
      </c>
      <c r="AG1" t="s">
        <v>98</v>
      </c>
      <c r="AH1" t="s">
        <v>99</v>
      </c>
      <c r="AI1" t="s">
        <v>104</v>
      </c>
    </row>
    <row r="2" spans="1:35">
      <c r="A2" t="s">
        <v>62</v>
      </c>
      <c r="B2" t="s">
        <v>44</v>
      </c>
      <c r="C2">
        <v>88</v>
      </c>
      <c r="D2" s="13">
        <v>46023</v>
      </c>
      <c r="E2" s="13">
        <v>46387</v>
      </c>
      <c r="F2">
        <v>1</v>
      </c>
      <c r="G2" t="s">
        <v>47</v>
      </c>
      <c r="H2" t="s">
        <v>32</v>
      </c>
      <c r="I2" t="s">
        <v>36</v>
      </c>
      <c r="J2" t="s">
        <v>40</v>
      </c>
      <c r="K2" t="s">
        <v>45</v>
      </c>
      <c r="L2" t="s">
        <v>46</v>
      </c>
      <c r="M2">
        <v>60</v>
      </c>
      <c r="N2">
        <v>120</v>
      </c>
      <c r="O2">
        <v>1</v>
      </c>
      <c r="P2" t="s">
        <v>47</v>
      </c>
      <c r="Q2" t="s">
        <v>66</v>
      </c>
      <c r="R2">
        <v>80</v>
      </c>
      <c r="U2">
        <v>110</v>
      </c>
      <c r="V2" t="s">
        <v>47</v>
      </c>
      <c r="W2">
        <v>1</v>
      </c>
      <c r="X2">
        <v>80</v>
      </c>
      <c r="Y2">
        <v>88</v>
      </c>
      <c r="Z2">
        <v>80</v>
      </c>
      <c r="AA2" t="s">
        <v>82</v>
      </c>
      <c r="AB2">
        <v>-8</v>
      </c>
      <c r="AC2" s="18">
        <v>0.31818181818181801</v>
      </c>
      <c r="AD2" t="s">
        <v>83</v>
      </c>
      <c r="AE2">
        <v>0</v>
      </c>
      <c r="AF2">
        <v>125</v>
      </c>
      <c r="AG2" t="s">
        <v>100</v>
      </c>
      <c r="AH2">
        <v>0</v>
      </c>
      <c r="AI2">
        <v>0</v>
      </c>
    </row>
    <row r="3" spans="1:35">
      <c r="A3" t="s">
        <v>62</v>
      </c>
      <c r="B3" t="s">
        <v>44</v>
      </c>
      <c r="C3">
        <v>88</v>
      </c>
      <c r="D3" s="13">
        <v>46023</v>
      </c>
      <c r="E3" s="13">
        <v>46387</v>
      </c>
      <c r="F3">
        <v>1</v>
      </c>
      <c r="G3" t="s">
        <v>47</v>
      </c>
      <c r="H3" t="s">
        <v>33</v>
      </c>
      <c r="I3" t="s">
        <v>37</v>
      </c>
      <c r="J3" t="s">
        <v>41</v>
      </c>
      <c r="K3" t="s">
        <v>45</v>
      </c>
      <c r="L3" t="s">
        <v>46</v>
      </c>
      <c r="M3">
        <v>60</v>
      </c>
      <c r="N3">
        <v>120</v>
      </c>
      <c r="O3">
        <v>1</v>
      </c>
      <c r="P3" t="s">
        <v>47</v>
      </c>
      <c r="Q3" t="s">
        <v>67</v>
      </c>
      <c r="S3">
        <v>0.8</v>
      </c>
      <c r="U3">
        <v>110</v>
      </c>
      <c r="V3" t="s">
        <v>47</v>
      </c>
      <c r="W3">
        <v>1</v>
      </c>
      <c r="X3">
        <v>96</v>
      </c>
      <c r="Y3">
        <v>88</v>
      </c>
      <c r="Z3">
        <v>96</v>
      </c>
      <c r="AA3" t="s">
        <v>84</v>
      </c>
      <c r="AB3">
        <v>8</v>
      </c>
      <c r="AC3" s="18">
        <v>0.31818181818181801</v>
      </c>
      <c r="AD3" t="s">
        <v>83</v>
      </c>
      <c r="AE3">
        <v>1</v>
      </c>
      <c r="AF3">
        <v>125</v>
      </c>
      <c r="AG3" t="s">
        <v>100</v>
      </c>
      <c r="AH3">
        <v>0</v>
      </c>
      <c r="AI3">
        <v>0</v>
      </c>
    </row>
    <row r="4" spans="1:35">
      <c r="A4" t="s">
        <v>63</v>
      </c>
      <c r="B4" t="s">
        <v>44</v>
      </c>
      <c r="C4">
        <v>105</v>
      </c>
      <c r="D4" s="13">
        <v>46054</v>
      </c>
      <c r="E4" s="13">
        <v>46234</v>
      </c>
      <c r="F4">
        <v>1</v>
      </c>
      <c r="G4" t="s">
        <v>47</v>
      </c>
      <c r="H4" t="s">
        <v>33</v>
      </c>
      <c r="I4" t="s">
        <v>37</v>
      </c>
      <c r="J4" t="s">
        <v>41</v>
      </c>
      <c r="K4" t="s">
        <v>45</v>
      </c>
      <c r="L4" t="s">
        <v>46</v>
      </c>
      <c r="M4">
        <v>60</v>
      </c>
      <c r="N4">
        <v>120</v>
      </c>
      <c r="O4">
        <v>1</v>
      </c>
      <c r="P4" t="s">
        <v>47</v>
      </c>
      <c r="Q4" t="s">
        <v>67</v>
      </c>
      <c r="S4">
        <v>0.8</v>
      </c>
      <c r="U4">
        <v>110</v>
      </c>
      <c r="V4" t="s">
        <v>47</v>
      </c>
      <c r="W4">
        <v>1</v>
      </c>
      <c r="X4">
        <v>96</v>
      </c>
      <c r="Y4">
        <v>105</v>
      </c>
      <c r="Z4">
        <v>96</v>
      </c>
      <c r="AA4" t="s">
        <v>82</v>
      </c>
      <c r="AB4">
        <v>-9</v>
      </c>
      <c r="AC4" s="18">
        <v>0.42857142857142899</v>
      </c>
      <c r="AD4" t="s">
        <v>83</v>
      </c>
      <c r="AE4">
        <v>0</v>
      </c>
      <c r="AF4">
        <v>-28</v>
      </c>
      <c r="AG4" t="s">
        <v>102</v>
      </c>
      <c r="AH4">
        <v>1</v>
      </c>
      <c r="AI4">
        <v>1</v>
      </c>
    </row>
    <row r="5" spans="1:35">
      <c r="A5" t="s">
        <v>62</v>
      </c>
      <c r="B5" t="s">
        <v>48</v>
      </c>
      <c r="C5">
        <v>150</v>
      </c>
      <c r="D5" s="13">
        <v>46023</v>
      </c>
      <c r="E5" s="13">
        <v>46387</v>
      </c>
      <c r="F5">
        <v>1</v>
      </c>
      <c r="G5" t="s">
        <v>47</v>
      </c>
      <c r="H5" t="s">
        <v>32</v>
      </c>
      <c r="I5" t="s">
        <v>36</v>
      </c>
      <c r="J5" t="s">
        <v>40</v>
      </c>
      <c r="K5" t="s">
        <v>49</v>
      </c>
      <c r="L5" t="s">
        <v>50</v>
      </c>
      <c r="M5">
        <v>90</v>
      </c>
      <c r="N5">
        <v>180</v>
      </c>
      <c r="O5">
        <v>1</v>
      </c>
      <c r="P5" t="s">
        <v>47</v>
      </c>
      <c r="Q5" t="s">
        <v>66</v>
      </c>
      <c r="R5">
        <v>140</v>
      </c>
      <c r="U5">
        <v>170</v>
      </c>
      <c r="V5" t="s">
        <v>47</v>
      </c>
      <c r="W5">
        <v>1</v>
      </c>
      <c r="X5">
        <v>140</v>
      </c>
      <c r="Y5">
        <v>150</v>
      </c>
      <c r="Z5">
        <v>140</v>
      </c>
      <c r="AA5" t="s">
        <v>82</v>
      </c>
      <c r="AB5">
        <v>-10</v>
      </c>
      <c r="AC5" s="18">
        <v>0.4</v>
      </c>
      <c r="AD5" t="s">
        <v>83</v>
      </c>
      <c r="AE5">
        <v>0</v>
      </c>
      <c r="AF5">
        <v>125</v>
      </c>
      <c r="AG5" t="s">
        <v>100</v>
      </c>
      <c r="AH5">
        <v>0</v>
      </c>
      <c r="AI5">
        <v>0</v>
      </c>
    </row>
    <row r="6" spans="1:35">
      <c r="A6" t="s">
        <v>62</v>
      </c>
      <c r="B6" t="s">
        <v>44</v>
      </c>
      <c r="C6">
        <v>88</v>
      </c>
      <c r="D6" s="13">
        <v>46023</v>
      </c>
      <c r="E6" s="13">
        <v>46387</v>
      </c>
      <c r="F6">
        <v>1</v>
      </c>
      <c r="G6" t="s">
        <v>47</v>
      </c>
      <c r="H6" t="s">
        <v>34</v>
      </c>
      <c r="I6" t="s">
        <v>38</v>
      </c>
      <c r="J6" t="s">
        <v>42</v>
      </c>
      <c r="K6" t="s">
        <v>45</v>
      </c>
      <c r="L6" t="s">
        <v>46</v>
      </c>
      <c r="M6">
        <v>60</v>
      </c>
      <c r="N6">
        <v>120</v>
      </c>
      <c r="O6">
        <v>1</v>
      </c>
      <c r="P6" t="s">
        <v>47</v>
      </c>
      <c r="Q6" t="s">
        <v>68</v>
      </c>
      <c r="T6">
        <v>0.7</v>
      </c>
      <c r="U6">
        <v>110</v>
      </c>
      <c r="V6" t="s">
        <v>47</v>
      </c>
      <c r="W6">
        <v>1</v>
      </c>
      <c r="X6">
        <v>84</v>
      </c>
      <c r="Y6">
        <v>88</v>
      </c>
      <c r="Z6">
        <v>84</v>
      </c>
      <c r="AA6" t="s">
        <v>82</v>
      </c>
      <c r="AB6">
        <v>-4</v>
      </c>
      <c r="AC6" s="18">
        <v>0.31818181818181801</v>
      </c>
      <c r="AD6" t="s">
        <v>83</v>
      </c>
      <c r="AE6">
        <v>0</v>
      </c>
      <c r="AF6">
        <v>125</v>
      </c>
      <c r="AG6" t="s">
        <v>100</v>
      </c>
      <c r="AH6">
        <v>0</v>
      </c>
      <c r="AI6">
        <v>0</v>
      </c>
    </row>
    <row r="7" spans="1:35">
      <c r="A7" t="s">
        <v>62</v>
      </c>
      <c r="B7" t="s">
        <v>51</v>
      </c>
      <c r="C7">
        <v>210</v>
      </c>
      <c r="D7" s="13">
        <v>46023</v>
      </c>
      <c r="E7" s="13">
        <v>46387</v>
      </c>
      <c r="F7">
        <v>1</v>
      </c>
      <c r="G7" t="s">
        <v>47</v>
      </c>
      <c r="H7" t="s">
        <v>32</v>
      </c>
      <c r="I7" t="s">
        <v>36</v>
      </c>
      <c r="J7" t="s">
        <v>40</v>
      </c>
      <c r="K7" t="s">
        <v>52</v>
      </c>
      <c r="L7" t="s">
        <v>53</v>
      </c>
      <c r="M7">
        <v>125</v>
      </c>
      <c r="N7">
        <v>250</v>
      </c>
      <c r="O7">
        <v>1</v>
      </c>
      <c r="P7" t="s">
        <v>47</v>
      </c>
      <c r="Q7" t="s">
        <v>66</v>
      </c>
      <c r="R7">
        <v>220</v>
      </c>
      <c r="U7">
        <v>230</v>
      </c>
      <c r="V7" t="s">
        <v>47</v>
      </c>
      <c r="W7">
        <v>1</v>
      </c>
      <c r="X7">
        <v>220</v>
      </c>
      <c r="Y7">
        <v>210</v>
      </c>
      <c r="Z7">
        <v>220</v>
      </c>
      <c r="AA7" t="s">
        <v>84</v>
      </c>
      <c r="AB7">
        <v>10</v>
      </c>
      <c r="AC7" s="18">
        <v>0.40476190476190499</v>
      </c>
      <c r="AD7" t="s">
        <v>83</v>
      </c>
      <c r="AE7">
        <v>1</v>
      </c>
      <c r="AF7">
        <v>125</v>
      </c>
      <c r="AG7" t="s">
        <v>100</v>
      </c>
      <c r="AH7">
        <v>0</v>
      </c>
      <c r="AI7">
        <v>0</v>
      </c>
    </row>
    <row r="8" spans="1:35">
      <c r="A8" t="s">
        <v>64</v>
      </c>
      <c r="B8" t="s">
        <v>51</v>
      </c>
      <c r="C8">
        <v>195</v>
      </c>
      <c r="D8" s="13">
        <v>46082</v>
      </c>
      <c r="E8" s="13">
        <v>46446</v>
      </c>
      <c r="F8">
        <v>1</v>
      </c>
      <c r="G8" t="s">
        <v>47</v>
      </c>
      <c r="H8" t="s">
        <v>32</v>
      </c>
      <c r="I8" t="s">
        <v>36</v>
      </c>
      <c r="J8" t="s">
        <v>40</v>
      </c>
      <c r="K8" t="s">
        <v>52</v>
      </c>
      <c r="L8" t="s">
        <v>53</v>
      </c>
      <c r="M8">
        <v>125</v>
      </c>
      <c r="N8">
        <v>250</v>
      </c>
      <c r="O8">
        <v>1</v>
      </c>
      <c r="P8" t="s">
        <v>47</v>
      </c>
      <c r="Q8" t="s">
        <v>66</v>
      </c>
      <c r="R8">
        <v>220</v>
      </c>
      <c r="U8">
        <v>230</v>
      </c>
      <c r="V8" t="s">
        <v>47</v>
      </c>
      <c r="W8">
        <v>1</v>
      </c>
      <c r="X8">
        <v>220</v>
      </c>
      <c r="Y8">
        <v>195</v>
      </c>
      <c r="Z8">
        <v>220</v>
      </c>
      <c r="AA8" t="s">
        <v>84</v>
      </c>
      <c r="AB8">
        <v>25</v>
      </c>
      <c r="AC8" s="18">
        <v>0.35897435897435898</v>
      </c>
      <c r="AD8" t="s">
        <v>83</v>
      </c>
      <c r="AE8">
        <v>1</v>
      </c>
      <c r="AF8">
        <v>184</v>
      </c>
      <c r="AG8" t="s">
        <v>100</v>
      </c>
      <c r="AH8">
        <v>0</v>
      </c>
      <c r="AI8">
        <v>0</v>
      </c>
    </row>
    <row r="9" spans="1:35">
      <c r="A9" t="s">
        <v>62</v>
      </c>
      <c r="B9" t="s">
        <v>54</v>
      </c>
      <c r="C9">
        <v>13500</v>
      </c>
      <c r="D9" s="13">
        <v>46023</v>
      </c>
      <c r="E9" s="13">
        <v>46387</v>
      </c>
      <c r="F9">
        <v>100</v>
      </c>
      <c r="G9" t="s">
        <v>47</v>
      </c>
      <c r="H9" t="s">
        <v>32</v>
      </c>
      <c r="I9" t="s">
        <v>36</v>
      </c>
      <c r="J9" t="s">
        <v>40</v>
      </c>
      <c r="K9" t="s">
        <v>55</v>
      </c>
      <c r="L9" t="s">
        <v>56</v>
      </c>
      <c r="M9">
        <v>75</v>
      </c>
      <c r="N9">
        <v>15000</v>
      </c>
      <c r="O9">
        <v>100</v>
      </c>
      <c r="P9" t="s">
        <v>47</v>
      </c>
      <c r="Q9" t="s">
        <v>67</v>
      </c>
      <c r="S9">
        <v>0.95</v>
      </c>
      <c r="U9">
        <v>145</v>
      </c>
      <c r="V9" t="s">
        <v>47</v>
      </c>
      <c r="W9">
        <v>1</v>
      </c>
      <c r="X9">
        <v>14250</v>
      </c>
      <c r="Y9">
        <v>135</v>
      </c>
      <c r="Z9">
        <v>142.5</v>
      </c>
      <c r="AA9" t="s">
        <v>84</v>
      </c>
      <c r="AB9">
        <v>7.5</v>
      </c>
      <c r="AC9" s="18">
        <v>0.44444444444444398</v>
      </c>
      <c r="AD9" t="s">
        <v>83</v>
      </c>
      <c r="AE9">
        <v>1</v>
      </c>
      <c r="AF9">
        <v>125</v>
      </c>
      <c r="AG9" t="s">
        <v>100</v>
      </c>
      <c r="AH9">
        <v>0</v>
      </c>
      <c r="AI9">
        <v>0</v>
      </c>
    </row>
    <row r="10" spans="1:35">
      <c r="A10" t="s">
        <v>62</v>
      </c>
      <c r="B10" t="s">
        <v>48</v>
      </c>
      <c r="C10">
        <v>150</v>
      </c>
      <c r="D10" s="13">
        <v>46023</v>
      </c>
      <c r="E10" s="13">
        <v>46387</v>
      </c>
      <c r="F10">
        <v>1</v>
      </c>
      <c r="G10" t="s">
        <v>47</v>
      </c>
      <c r="H10" t="s">
        <v>33</v>
      </c>
      <c r="I10" t="s">
        <v>37</v>
      </c>
      <c r="J10" t="s">
        <v>41</v>
      </c>
      <c r="K10" t="s">
        <v>49</v>
      </c>
      <c r="L10" t="s">
        <v>50</v>
      </c>
      <c r="M10">
        <v>90</v>
      </c>
      <c r="N10">
        <v>180</v>
      </c>
      <c r="O10">
        <v>1</v>
      </c>
      <c r="P10" t="s">
        <v>47</v>
      </c>
      <c r="Q10" t="s">
        <v>67</v>
      </c>
      <c r="S10">
        <v>0.8</v>
      </c>
      <c r="U10">
        <v>170</v>
      </c>
      <c r="V10" t="s">
        <v>47</v>
      </c>
      <c r="W10">
        <v>1</v>
      </c>
      <c r="X10">
        <v>144</v>
      </c>
      <c r="Y10">
        <v>150</v>
      </c>
      <c r="Z10">
        <v>144</v>
      </c>
      <c r="AA10" t="s">
        <v>82</v>
      </c>
      <c r="AB10">
        <v>-6</v>
      </c>
      <c r="AC10" s="18">
        <v>0.4</v>
      </c>
      <c r="AD10" t="s">
        <v>83</v>
      </c>
      <c r="AE10">
        <v>0</v>
      </c>
      <c r="AF10">
        <v>125</v>
      </c>
      <c r="AG10" t="s">
        <v>100</v>
      </c>
      <c r="AH10">
        <v>0</v>
      </c>
      <c r="AI10">
        <v>0</v>
      </c>
    </row>
    <row r="11" spans="1:35">
      <c r="A11" t="s">
        <v>64</v>
      </c>
      <c r="B11" t="s">
        <v>60</v>
      </c>
      <c r="C11">
        <v>170</v>
      </c>
      <c r="D11" s="13">
        <v>46082</v>
      </c>
      <c r="E11" s="13">
        <v>46446</v>
      </c>
      <c r="F11">
        <v>1</v>
      </c>
      <c r="G11" t="s">
        <v>47</v>
      </c>
      <c r="H11" t="s">
        <v>32</v>
      </c>
      <c r="I11" t="s">
        <v>36</v>
      </c>
      <c r="J11" t="s">
        <v>40</v>
      </c>
      <c r="K11" t="s">
        <v>61</v>
      </c>
      <c r="L11" t="s">
        <v>53</v>
      </c>
      <c r="M11">
        <v>180</v>
      </c>
      <c r="N11">
        <v>200</v>
      </c>
      <c r="O11">
        <v>1</v>
      </c>
      <c r="P11" t="s">
        <v>47</v>
      </c>
      <c r="Q11" t="s">
        <v>67</v>
      </c>
      <c r="S11">
        <v>0.9</v>
      </c>
      <c r="U11">
        <v>195</v>
      </c>
      <c r="V11" t="s">
        <v>47</v>
      </c>
      <c r="W11">
        <v>1</v>
      </c>
      <c r="X11">
        <v>180</v>
      </c>
      <c r="Y11">
        <v>170</v>
      </c>
      <c r="Z11">
        <v>180</v>
      </c>
      <c r="AA11" t="s">
        <v>84</v>
      </c>
      <c r="AB11">
        <v>10</v>
      </c>
      <c r="AC11" s="18">
        <v>-5.8823529411764698E-2</v>
      </c>
      <c r="AD11" t="s">
        <v>103</v>
      </c>
      <c r="AE11">
        <v>1</v>
      </c>
      <c r="AF11">
        <v>184</v>
      </c>
      <c r="AG11" t="s">
        <v>100</v>
      </c>
      <c r="AH11">
        <v>0</v>
      </c>
      <c r="AI11">
        <v>1</v>
      </c>
    </row>
    <row r="12" spans="1:35">
      <c r="A12" t="s">
        <v>62</v>
      </c>
      <c r="B12" t="s">
        <v>48</v>
      </c>
      <c r="C12">
        <v>150</v>
      </c>
      <c r="D12" s="13">
        <v>46023</v>
      </c>
      <c r="E12" s="13">
        <v>46387</v>
      </c>
      <c r="F12">
        <v>1</v>
      </c>
      <c r="G12" t="s">
        <v>47</v>
      </c>
      <c r="H12" t="s">
        <v>34</v>
      </c>
      <c r="I12" t="s">
        <v>38</v>
      </c>
      <c r="J12" t="s">
        <v>42</v>
      </c>
      <c r="K12" t="s">
        <v>49</v>
      </c>
      <c r="L12" t="s">
        <v>50</v>
      </c>
      <c r="M12">
        <v>90</v>
      </c>
      <c r="N12">
        <v>180</v>
      </c>
      <c r="O12">
        <v>1</v>
      </c>
      <c r="P12" t="s">
        <v>47</v>
      </c>
      <c r="Q12" t="s">
        <v>68</v>
      </c>
      <c r="T12">
        <v>0.8</v>
      </c>
      <c r="U12">
        <v>170</v>
      </c>
      <c r="V12" t="s">
        <v>47</v>
      </c>
      <c r="W12">
        <v>1</v>
      </c>
      <c r="X12">
        <v>144</v>
      </c>
      <c r="Y12">
        <v>150</v>
      </c>
      <c r="Z12">
        <v>144</v>
      </c>
      <c r="AA12" t="s">
        <v>82</v>
      </c>
      <c r="AB12">
        <v>-6</v>
      </c>
      <c r="AC12" s="18">
        <v>0.4</v>
      </c>
      <c r="AD12" t="s">
        <v>83</v>
      </c>
      <c r="AE12">
        <v>0</v>
      </c>
      <c r="AF12">
        <v>125</v>
      </c>
      <c r="AG12" t="s">
        <v>100</v>
      </c>
      <c r="AH12">
        <v>0</v>
      </c>
      <c r="AI12">
        <v>0</v>
      </c>
    </row>
    <row r="13" spans="1:35">
      <c r="A13" t="s">
        <v>62</v>
      </c>
      <c r="B13" t="s">
        <v>51</v>
      </c>
      <c r="C13">
        <v>210</v>
      </c>
      <c r="D13" s="13">
        <v>46023</v>
      </c>
      <c r="E13" s="13">
        <v>46387</v>
      </c>
      <c r="F13">
        <v>1</v>
      </c>
      <c r="G13" t="s">
        <v>47</v>
      </c>
      <c r="H13" t="s">
        <v>33</v>
      </c>
      <c r="I13" t="s">
        <v>37</v>
      </c>
      <c r="J13" t="s">
        <v>41</v>
      </c>
      <c r="K13" t="s">
        <v>52</v>
      </c>
      <c r="L13" t="s">
        <v>53</v>
      </c>
      <c r="M13">
        <v>125</v>
      </c>
      <c r="N13">
        <v>250</v>
      </c>
      <c r="O13">
        <v>1</v>
      </c>
      <c r="P13" t="s">
        <v>47</v>
      </c>
      <c r="Q13" t="s">
        <v>68</v>
      </c>
      <c r="T13">
        <v>0.88</v>
      </c>
      <c r="U13">
        <v>230</v>
      </c>
      <c r="V13" t="s">
        <v>47</v>
      </c>
      <c r="W13">
        <v>1</v>
      </c>
      <c r="X13">
        <v>220</v>
      </c>
      <c r="Y13">
        <v>210</v>
      </c>
      <c r="Z13">
        <v>220</v>
      </c>
      <c r="AA13" t="s">
        <v>84</v>
      </c>
      <c r="AB13">
        <v>10</v>
      </c>
      <c r="AC13" s="18">
        <v>0.40476190476190499</v>
      </c>
      <c r="AD13" t="s">
        <v>83</v>
      </c>
      <c r="AE13">
        <v>1</v>
      </c>
      <c r="AF13">
        <v>125</v>
      </c>
      <c r="AG13" t="s">
        <v>100</v>
      </c>
      <c r="AH13">
        <v>0</v>
      </c>
      <c r="AI13">
        <v>0</v>
      </c>
    </row>
    <row r="14" spans="1:35">
      <c r="A14" t="s">
        <v>62</v>
      </c>
      <c r="B14" t="s">
        <v>51</v>
      </c>
      <c r="C14">
        <v>210</v>
      </c>
      <c r="D14" s="13">
        <v>46023</v>
      </c>
      <c r="E14" s="13">
        <v>46387</v>
      </c>
      <c r="F14">
        <v>1</v>
      </c>
      <c r="G14" t="s">
        <v>47</v>
      </c>
      <c r="H14" t="s">
        <v>34</v>
      </c>
      <c r="I14" t="s">
        <v>38</v>
      </c>
      <c r="J14" t="s">
        <v>42</v>
      </c>
      <c r="K14" t="s">
        <v>52</v>
      </c>
      <c r="L14" t="s">
        <v>53</v>
      </c>
      <c r="M14">
        <v>125</v>
      </c>
      <c r="N14">
        <v>250</v>
      </c>
      <c r="O14">
        <v>1</v>
      </c>
      <c r="P14" t="s">
        <v>47</v>
      </c>
      <c r="Q14" t="s">
        <v>67</v>
      </c>
      <c r="S14">
        <v>0.8</v>
      </c>
      <c r="U14">
        <v>230</v>
      </c>
      <c r="V14" t="s">
        <v>47</v>
      </c>
      <c r="W14">
        <v>1</v>
      </c>
      <c r="X14">
        <v>200</v>
      </c>
      <c r="Y14">
        <v>210</v>
      </c>
      <c r="Z14">
        <v>200</v>
      </c>
      <c r="AA14" t="s">
        <v>82</v>
      </c>
      <c r="AB14">
        <v>-10</v>
      </c>
      <c r="AC14" s="18">
        <v>0.40476190476190499</v>
      </c>
      <c r="AD14" t="s">
        <v>83</v>
      </c>
      <c r="AE14">
        <v>0</v>
      </c>
      <c r="AF14">
        <v>125</v>
      </c>
      <c r="AG14" t="s">
        <v>100</v>
      </c>
      <c r="AH14">
        <v>0</v>
      </c>
      <c r="AI14">
        <v>0</v>
      </c>
    </row>
    <row r="15" spans="1:35">
      <c r="A15" t="s">
        <v>62</v>
      </c>
      <c r="B15" t="s">
        <v>54</v>
      </c>
      <c r="C15">
        <v>13500</v>
      </c>
      <c r="D15" s="13">
        <v>46023</v>
      </c>
      <c r="E15" s="13">
        <v>46387</v>
      </c>
      <c r="F15">
        <v>100</v>
      </c>
      <c r="G15" t="s">
        <v>47</v>
      </c>
      <c r="H15" t="s">
        <v>33</v>
      </c>
      <c r="I15" t="s">
        <v>37</v>
      </c>
      <c r="J15" t="s">
        <v>41</v>
      </c>
      <c r="K15" t="s">
        <v>55</v>
      </c>
      <c r="L15" t="s">
        <v>56</v>
      </c>
      <c r="M15">
        <v>75</v>
      </c>
      <c r="N15">
        <v>15000</v>
      </c>
      <c r="O15">
        <v>100</v>
      </c>
      <c r="P15" t="s">
        <v>47</v>
      </c>
      <c r="Q15" t="s">
        <v>66</v>
      </c>
      <c r="R15">
        <v>130</v>
      </c>
      <c r="U15">
        <v>145</v>
      </c>
      <c r="V15" t="s">
        <v>47</v>
      </c>
      <c r="W15">
        <v>1</v>
      </c>
      <c r="X15">
        <v>130</v>
      </c>
      <c r="Y15">
        <v>135</v>
      </c>
      <c r="Z15">
        <v>130</v>
      </c>
      <c r="AA15" t="s">
        <v>82</v>
      </c>
      <c r="AB15">
        <v>-5</v>
      </c>
      <c r="AC15" s="18">
        <v>0.44444444444444398</v>
      </c>
      <c r="AD15" t="s">
        <v>83</v>
      </c>
      <c r="AE15">
        <v>0</v>
      </c>
      <c r="AF15">
        <v>125</v>
      </c>
      <c r="AG15" t="s">
        <v>100</v>
      </c>
      <c r="AH15">
        <v>0</v>
      </c>
      <c r="AI15">
        <v>0</v>
      </c>
    </row>
    <row r="16" spans="1:35">
      <c r="A16" t="s">
        <v>63</v>
      </c>
      <c r="B16" t="s">
        <v>57</v>
      </c>
      <c r="C16">
        <v>85</v>
      </c>
      <c r="D16" s="13">
        <v>46054</v>
      </c>
      <c r="E16" s="13">
        <v>46234</v>
      </c>
      <c r="F16">
        <v>1</v>
      </c>
      <c r="G16" t="s">
        <v>47</v>
      </c>
      <c r="H16" t="s">
        <v>33</v>
      </c>
      <c r="I16" t="s">
        <v>37</v>
      </c>
      <c r="J16" t="s">
        <v>41</v>
      </c>
      <c r="K16" t="s">
        <v>58</v>
      </c>
      <c r="L16" t="s">
        <v>59</v>
      </c>
      <c r="M16">
        <v>45</v>
      </c>
      <c r="N16">
        <v>90</v>
      </c>
      <c r="O16">
        <v>1</v>
      </c>
      <c r="P16" t="s">
        <v>47</v>
      </c>
      <c r="Q16" t="s">
        <v>68</v>
      </c>
      <c r="T16">
        <v>0.9</v>
      </c>
      <c r="U16">
        <v>85</v>
      </c>
      <c r="V16" t="s">
        <v>47</v>
      </c>
      <c r="W16">
        <v>1</v>
      </c>
      <c r="X16">
        <v>81</v>
      </c>
      <c r="Y16">
        <v>85</v>
      </c>
      <c r="Z16">
        <v>81</v>
      </c>
      <c r="AA16" t="s">
        <v>82</v>
      </c>
      <c r="AB16">
        <v>-4</v>
      </c>
      <c r="AC16" s="18">
        <v>0.47058823529411797</v>
      </c>
      <c r="AD16" t="s">
        <v>83</v>
      </c>
      <c r="AE16">
        <v>0</v>
      </c>
      <c r="AF16">
        <v>-28</v>
      </c>
      <c r="AG16" t="s">
        <v>102</v>
      </c>
      <c r="AH16">
        <v>1</v>
      </c>
      <c r="AI16">
        <v>1</v>
      </c>
    </row>
    <row r="17" spans="1:35">
      <c r="A17" t="s">
        <v>62</v>
      </c>
      <c r="B17" t="s">
        <v>54</v>
      </c>
      <c r="C17">
        <v>13500</v>
      </c>
      <c r="D17" s="13">
        <v>46023</v>
      </c>
      <c r="E17" s="13">
        <v>46387</v>
      </c>
      <c r="F17">
        <v>100</v>
      </c>
      <c r="G17" t="s">
        <v>47</v>
      </c>
      <c r="H17" t="s">
        <v>34</v>
      </c>
      <c r="I17" t="s">
        <v>38</v>
      </c>
      <c r="J17" t="s">
        <v>42</v>
      </c>
      <c r="K17" t="s">
        <v>55</v>
      </c>
      <c r="L17" t="s">
        <v>56</v>
      </c>
      <c r="M17">
        <v>75</v>
      </c>
      <c r="N17">
        <v>15000</v>
      </c>
      <c r="O17">
        <v>100</v>
      </c>
      <c r="P17" t="s">
        <v>47</v>
      </c>
      <c r="Q17" t="s">
        <v>67</v>
      </c>
      <c r="S17">
        <v>0.8</v>
      </c>
      <c r="U17">
        <v>145</v>
      </c>
      <c r="V17" t="s">
        <v>47</v>
      </c>
      <c r="W17">
        <v>1</v>
      </c>
      <c r="X17">
        <v>12000</v>
      </c>
      <c r="Y17">
        <v>135</v>
      </c>
      <c r="Z17">
        <v>120</v>
      </c>
      <c r="AA17" t="s">
        <v>82</v>
      </c>
      <c r="AB17">
        <v>-15</v>
      </c>
      <c r="AC17" s="18">
        <v>0.44444444444444398</v>
      </c>
      <c r="AD17" t="s">
        <v>83</v>
      </c>
      <c r="AE17">
        <v>0</v>
      </c>
      <c r="AF17">
        <v>125</v>
      </c>
      <c r="AG17" t="s">
        <v>100</v>
      </c>
      <c r="AH17">
        <v>0</v>
      </c>
      <c r="AI17">
        <v>0</v>
      </c>
    </row>
    <row r="18" spans="1:35">
      <c r="A18" t="s">
        <v>63</v>
      </c>
      <c r="B18" t="s">
        <v>44</v>
      </c>
      <c r="C18">
        <v>105</v>
      </c>
      <c r="D18" s="13">
        <v>46054</v>
      </c>
      <c r="E18" s="13">
        <v>46234</v>
      </c>
      <c r="F18">
        <v>1</v>
      </c>
      <c r="G18" t="s">
        <v>47</v>
      </c>
      <c r="H18" t="s">
        <v>35</v>
      </c>
      <c r="I18" t="s">
        <v>39</v>
      </c>
      <c r="J18" t="s">
        <v>43</v>
      </c>
      <c r="K18" t="s">
        <v>45</v>
      </c>
      <c r="L18" t="s">
        <v>46</v>
      </c>
      <c r="M18">
        <v>60</v>
      </c>
      <c r="N18">
        <v>120</v>
      </c>
      <c r="O18">
        <v>1</v>
      </c>
      <c r="P18" t="s">
        <v>47</v>
      </c>
      <c r="Q18" t="s">
        <v>66</v>
      </c>
      <c r="R18">
        <v>100</v>
      </c>
      <c r="U18">
        <v>110</v>
      </c>
      <c r="V18" t="s">
        <v>47</v>
      </c>
      <c r="W18">
        <v>1</v>
      </c>
      <c r="X18">
        <v>100</v>
      </c>
      <c r="Y18">
        <v>105</v>
      </c>
      <c r="Z18">
        <v>100</v>
      </c>
      <c r="AA18" t="s">
        <v>82</v>
      </c>
      <c r="AB18">
        <v>-5</v>
      </c>
      <c r="AC18" s="18">
        <v>0.42857142857142899</v>
      </c>
      <c r="AD18" t="s">
        <v>83</v>
      </c>
      <c r="AE18">
        <v>0</v>
      </c>
      <c r="AF18">
        <v>-28</v>
      </c>
      <c r="AG18" t="s">
        <v>102</v>
      </c>
      <c r="AH18">
        <v>1</v>
      </c>
      <c r="AI18">
        <v>1</v>
      </c>
    </row>
    <row r="19" spans="1:35">
      <c r="A19" t="s">
        <v>63</v>
      </c>
      <c r="B19" t="s">
        <v>57</v>
      </c>
      <c r="C19">
        <v>85</v>
      </c>
      <c r="D19" s="13">
        <v>46054</v>
      </c>
      <c r="E19" s="13">
        <v>46234</v>
      </c>
      <c r="F19">
        <v>1</v>
      </c>
      <c r="G19" t="s">
        <v>47</v>
      </c>
      <c r="H19" t="s">
        <v>35</v>
      </c>
      <c r="I19" t="s">
        <v>39</v>
      </c>
      <c r="J19" t="s">
        <v>43</v>
      </c>
      <c r="K19" t="s">
        <v>58</v>
      </c>
      <c r="L19" t="s">
        <v>59</v>
      </c>
      <c r="M19">
        <v>45</v>
      </c>
      <c r="N19">
        <v>90</v>
      </c>
      <c r="O19">
        <v>1</v>
      </c>
      <c r="P19" t="s">
        <v>47</v>
      </c>
      <c r="Q19" t="s">
        <v>67</v>
      </c>
      <c r="S19">
        <v>0.88</v>
      </c>
      <c r="U19">
        <v>85</v>
      </c>
      <c r="V19" t="s">
        <v>47</v>
      </c>
      <c r="W19">
        <v>1</v>
      </c>
      <c r="X19">
        <v>79.2</v>
      </c>
      <c r="Y19">
        <v>85</v>
      </c>
      <c r="Z19">
        <v>79.2</v>
      </c>
      <c r="AA19" t="s">
        <v>82</v>
      </c>
      <c r="AB19">
        <v>-5.7999999999999972</v>
      </c>
      <c r="AC19" s="18">
        <v>0.47058823529411797</v>
      </c>
      <c r="AD19" t="s">
        <v>83</v>
      </c>
      <c r="AE19">
        <v>0</v>
      </c>
      <c r="AF19">
        <v>-28</v>
      </c>
      <c r="AG19" t="s">
        <v>102</v>
      </c>
      <c r="AH19">
        <v>1</v>
      </c>
      <c r="AI19">
        <v>1</v>
      </c>
    </row>
    <row r="20" spans="1:35">
      <c r="A20" t="s">
        <v>64</v>
      </c>
      <c r="B20" t="s">
        <v>51</v>
      </c>
      <c r="C20">
        <v>195</v>
      </c>
      <c r="D20" s="13">
        <v>46082</v>
      </c>
      <c r="E20" s="13">
        <v>46446</v>
      </c>
      <c r="F20">
        <v>1</v>
      </c>
      <c r="G20" t="s">
        <v>47</v>
      </c>
      <c r="H20" t="s">
        <v>35</v>
      </c>
      <c r="I20" t="s">
        <v>39</v>
      </c>
      <c r="J20" t="s">
        <v>43</v>
      </c>
      <c r="K20" t="s">
        <v>52</v>
      </c>
      <c r="L20" t="s">
        <v>53</v>
      </c>
      <c r="M20">
        <v>125</v>
      </c>
      <c r="N20">
        <v>250</v>
      </c>
      <c r="O20">
        <v>1</v>
      </c>
      <c r="P20" t="s">
        <v>47</v>
      </c>
      <c r="Q20" t="s">
        <v>69</v>
      </c>
      <c r="U20">
        <v>230</v>
      </c>
      <c r="V20" t="s">
        <v>47</v>
      </c>
      <c r="W20">
        <v>1</v>
      </c>
      <c r="X20">
        <v>230</v>
      </c>
      <c r="Y20">
        <v>195</v>
      </c>
      <c r="Z20">
        <v>230</v>
      </c>
      <c r="AA20" t="s">
        <v>84</v>
      </c>
      <c r="AB20">
        <v>35</v>
      </c>
      <c r="AC20" s="18">
        <v>0.35897435897435898</v>
      </c>
      <c r="AD20" t="s">
        <v>83</v>
      </c>
      <c r="AE20">
        <v>1</v>
      </c>
      <c r="AF20">
        <v>184</v>
      </c>
      <c r="AG20" t="s">
        <v>100</v>
      </c>
      <c r="AH20">
        <v>0</v>
      </c>
      <c r="AI20">
        <v>0</v>
      </c>
    </row>
    <row r="21" spans="1:35">
      <c r="A21" t="s">
        <v>64</v>
      </c>
      <c r="B21" t="s">
        <v>60</v>
      </c>
      <c r="C21">
        <v>170</v>
      </c>
      <c r="D21" s="13">
        <v>46082</v>
      </c>
      <c r="E21" s="13">
        <v>46446</v>
      </c>
      <c r="F21">
        <v>1</v>
      </c>
      <c r="G21" t="s">
        <v>47</v>
      </c>
      <c r="H21" t="s">
        <v>35</v>
      </c>
      <c r="I21" t="s">
        <v>39</v>
      </c>
      <c r="J21" t="s">
        <v>43</v>
      </c>
      <c r="K21" t="s">
        <v>61</v>
      </c>
      <c r="L21" t="s">
        <v>53</v>
      </c>
      <c r="M21">
        <v>180</v>
      </c>
      <c r="N21">
        <v>200</v>
      </c>
      <c r="O21">
        <v>1</v>
      </c>
      <c r="P21" t="s">
        <v>47</v>
      </c>
      <c r="Q21" t="s">
        <v>69</v>
      </c>
      <c r="U21">
        <v>195</v>
      </c>
      <c r="V21" t="s">
        <v>47</v>
      </c>
      <c r="W21">
        <v>1</v>
      </c>
      <c r="X21">
        <v>195</v>
      </c>
      <c r="Y21">
        <v>170</v>
      </c>
      <c r="Z21">
        <v>195</v>
      </c>
      <c r="AA21" t="s">
        <v>84</v>
      </c>
      <c r="AB21">
        <v>25</v>
      </c>
      <c r="AC21" s="18">
        <v>-5.8823529411764698E-2</v>
      </c>
      <c r="AD21" t="s">
        <v>103</v>
      </c>
      <c r="AE21">
        <v>1</v>
      </c>
      <c r="AF21">
        <v>184</v>
      </c>
      <c r="AG21" t="s">
        <v>100</v>
      </c>
      <c r="AH21">
        <v>0</v>
      </c>
      <c r="AI21">
        <v>1</v>
      </c>
    </row>
  </sheetData>
  <phoneticPr fontId="6"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58FFD-1065-4CAF-9BD8-E71248EE3142}">
  <dimension ref="A1:F4"/>
  <sheetViews>
    <sheetView workbookViewId="0">
      <selection activeCell="D3" sqref="D3"/>
    </sheetView>
  </sheetViews>
  <sheetFormatPr defaultRowHeight="14.25"/>
  <cols>
    <col min="1" max="1" width="14.73046875" bestFit="1" customWidth="1"/>
    <col min="2" max="2" width="17.33203125" bestFit="1" customWidth="1"/>
    <col min="3" max="3" width="14.59765625" bestFit="1" customWidth="1"/>
    <col min="4" max="4" width="15.6640625" bestFit="1" customWidth="1"/>
    <col min="5" max="5" width="18.33203125" customWidth="1"/>
    <col min="6" max="6" width="13.86328125" bestFit="1" customWidth="1"/>
  </cols>
  <sheetData>
    <row r="1" spans="1:6">
      <c r="A1" t="s">
        <v>13</v>
      </c>
      <c r="B1" t="s">
        <v>105</v>
      </c>
      <c r="C1" t="s">
        <v>106</v>
      </c>
      <c r="D1" t="s">
        <v>97</v>
      </c>
      <c r="E1" t="s">
        <v>87</v>
      </c>
      <c r="F1" t="s">
        <v>98</v>
      </c>
    </row>
    <row r="2" spans="1:6">
      <c r="A2" t="s">
        <v>62</v>
      </c>
      <c r="B2">
        <v>12</v>
      </c>
      <c r="C2">
        <v>4</v>
      </c>
      <c r="D2">
        <v>125</v>
      </c>
      <c r="E2" t="s">
        <v>90</v>
      </c>
      <c r="F2" t="s">
        <v>100</v>
      </c>
    </row>
    <row r="3" spans="1:6">
      <c r="A3" t="s">
        <v>63</v>
      </c>
      <c r="B3">
        <v>4</v>
      </c>
      <c r="C3">
        <v>0</v>
      </c>
      <c r="D3">
        <v>-28</v>
      </c>
      <c r="E3" t="s">
        <v>93</v>
      </c>
      <c r="F3" t="s">
        <v>102</v>
      </c>
    </row>
    <row r="4" spans="1:6">
      <c r="A4" t="s">
        <v>64</v>
      </c>
      <c r="B4">
        <v>4</v>
      </c>
      <c r="C4">
        <v>4</v>
      </c>
      <c r="D4">
        <v>184</v>
      </c>
      <c r="E4" t="s">
        <v>94</v>
      </c>
      <c r="F4" t="s">
        <v>100</v>
      </c>
    </row>
  </sheetData>
  <phoneticPr fontId="6" type="noConversion"/>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94F51-9E94-42E3-B4A8-2F40D3E7485B}">
  <dimension ref="A1:K11"/>
  <sheetViews>
    <sheetView workbookViewId="0">
      <selection activeCell="D28" sqref="D28:D29"/>
    </sheetView>
  </sheetViews>
  <sheetFormatPr defaultRowHeight="14.25"/>
  <cols>
    <col min="2" max="2" width="21.33203125" style="16" customWidth="1"/>
    <col min="3" max="3" width="9.06640625" style="16"/>
    <col min="4" max="4" width="12.796875" style="16" customWidth="1"/>
    <col min="5" max="5" width="9.06640625" style="16"/>
    <col min="6" max="6" width="15.9296875" style="16" customWidth="1"/>
    <col min="7" max="7" width="9.06640625" style="16"/>
    <col min="8" max="8" width="15.06640625" style="16" customWidth="1"/>
    <col min="9" max="9" width="9.06640625" style="16"/>
    <col min="10" max="10" width="17.19921875" style="16" bestFit="1" customWidth="1"/>
  </cols>
  <sheetData>
    <row r="1" spans="1:11" ht="18" customHeight="1">
      <c r="A1" s="11"/>
      <c r="B1" s="34" t="s">
        <v>109</v>
      </c>
      <c r="C1" s="34"/>
      <c r="D1" s="34"/>
      <c r="E1" s="34"/>
      <c r="F1" s="34"/>
      <c r="G1" s="34"/>
      <c r="H1" s="34"/>
      <c r="I1" s="34"/>
      <c r="J1" s="34"/>
    </row>
    <row r="2" spans="1:11" s="6" customFormat="1" ht="27.75">
      <c r="A2" s="20"/>
      <c r="B2" s="27" t="s">
        <v>107</v>
      </c>
      <c r="C2" s="23"/>
      <c r="D2" s="28" t="s">
        <v>94</v>
      </c>
      <c r="E2" s="23"/>
      <c r="F2" s="28" t="s">
        <v>108</v>
      </c>
      <c r="G2" s="23"/>
      <c r="H2" s="28" t="s">
        <v>93</v>
      </c>
      <c r="I2" s="28"/>
      <c r="J2" s="29" t="s">
        <v>110</v>
      </c>
    </row>
    <row r="3" spans="1:11" s="22" customFormat="1" ht="30.75">
      <c r="A3" s="21"/>
      <c r="B3" s="24">
        <f>ROWS(tbl_Agreement_Summary[Agreement_ID])</f>
        <v>3</v>
      </c>
      <c r="C3" s="25"/>
      <c r="D3" s="26">
        <f>COUNTIF(tbl_Agreement_Summary[Agreement_Action],"KEEP AS IS")</f>
        <v>1</v>
      </c>
      <c r="E3" s="25"/>
      <c r="F3" s="26">
        <f>COUNTIF(tbl_Agreement_Summary[Agreement_Action],"SPLIT / UPDATE SPA")</f>
        <v>1</v>
      </c>
      <c r="G3" s="25"/>
      <c r="H3" s="26">
        <f>COUNTIF(tbl_Agreement_Summary[Agreement_Action],"DELETE SPA")</f>
        <v>1</v>
      </c>
      <c r="I3" s="25"/>
      <c r="J3" s="30">
        <f>COUNTIF(tbl_Final_Analysis[Review_Flag],1)</f>
        <v>6</v>
      </c>
    </row>
    <row r="4" spans="1:11">
      <c r="A4" s="20"/>
    </row>
    <row r="5" spans="1:11">
      <c r="A5" s="20"/>
    </row>
    <row r="6" spans="1:11">
      <c r="A6" s="20"/>
    </row>
    <row r="7" spans="1:11">
      <c r="A7" s="20"/>
      <c r="B7" s="32" t="s">
        <v>111</v>
      </c>
      <c r="C7" s="32" t="s">
        <v>112</v>
      </c>
      <c r="J7" s="31" t="s">
        <v>113</v>
      </c>
      <c r="K7" s="31" t="s">
        <v>112</v>
      </c>
    </row>
    <row r="8" spans="1:11">
      <c r="A8" s="20"/>
      <c r="B8" s="31" t="s">
        <v>94</v>
      </c>
      <c r="C8" s="33">
        <f>COUNTIF(tbl_Agreement_Summary[Agreement_Action],"KEEP AS IS")</f>
        <v>1</v>
      </c>
      <c r="J8" s="31" t="s">
        <v>100</v>
      </c>
      <c r="K8" s="31">
        <f>COUNTIF(tbl_Agreement_Summary[Expiry_Status],"ACTIVE")</f>
        <v>2</v>
      </c>
    </row>
    <row r="9" spans="1:11">
      <c r="A9" s="20"/>
      <c r="B9" s="31" t="s">
        <v>90</v>
      </c>
      <c r="C9" s="33">
        <f>COUNTIF(tbl_Agreement_Summary[Agreement_Action],"SPLIT / UPDATE SPA")</f>
        <v>1</v>
      </c>
      <c r="J9" s="31" t="s">
        <v>101</v>
      </c>
      <c r="K9" s="31">
        <f>COUNTIF(tbl_Agreement_Summary[Expiry_Status],"EXPIRING &lt;=90 DAYS")</f>
        <v>0</v>
      </c>
    </row>
    <row r="10" spans="1:11">
      <c r="B10" s="31" t="s">
        <v>93</v>
      </c>
      <c r="C10" s="33">
        <f>COUNTIF(tbl_Agreement_Summary[Agreement_Action],"DELETE SPA")</f>
        <v>1</v>
      </c>
      <c r="J10" s="31" t="s">
        <v>114</v>
      </c>
      <c r="K10" s="31">
        <f>COUNTIF(tbl_Agreement_Summary[Expiry_Status],"EXPIRING &lt;=30 DAYS")</f>
        <v>0</v>
      </c>
    </row>
    <row r="11" spans="1:11">
      <c r="J11" s="31" t="s">
        <v>102</v>
      </c>
      <c r="K11" s="31">
        <f>COUNTIF(tbl_Agreement_Summary[Expiry_Status],"EXPIRED")</f>
        <v>1</v>
      </c>
    </row>
  </sheetData>
  <mergeCells count="1">
    <mergeCell ref="B1:J1"/>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68DEE-3DD9-4C8A-9B74-8FA807D848D6}">
  <dimension ref="A1:AL21"/>
  <sheetViews>
    <sheetView workbookViewId="0">
      <selection activeCell="B11" sqref="B11"/>
    </sheetView>
  </sheetViews>
  <sheetFormatPr defaultRowHeight="14.25"/>
  <cols>
    <col min="1" max="1" width="14.73046875" bestFit="1" customWidth="1"/>
    <col min="2" max="2" width="12.3984375" bestFit="1" customWidth="1"/>
    <col min="3" max="3" width="10.9296875" bestFit="1" customWidth="1"/>
    <col min="4" max="4" width="11.53125" style="13" bestFit="1" customWidth="1"/>
    <col min="5" max="5" width="10.73046875" style="13" bestFit="1" customWidth="1"/>
    <col min="6" max="6" width="15.3984375" bestFit="1" customWidth="1"/>
    <col min="7" max="7" width="14.19921875" bestFit="1" customWidth="1"/>
    <col min="8" max="8" width="13.46484375" bestFit="1" customWidth="1"/>
    <col min="9" max="9" width="20.06640625" bestFit="1" customWidth="1"/>
    <col min="10" max="10" width="10" bestFit="1" customWidth="1"/>
    <col min="11" max="11" width="20.06640625" bestFit="1" customWidth="1"/>
    <col min="12" max="12" width="17" bestFit="1" customWidth="1"/>
    <col min="13" max="13" width="10.86328125" bestFit="1" customWidth="1"/>
    <col min="14" max="14" width="12.19921875" bestFit="1" customWidth="1"/>
    <col min="15" max="15" width="19.1328125" bestFit="1" customWidth="1"/>
    <col min="16" max="16" width="17.9296875" bestFit="1" customWidth="1"/>
    <col min="17" max="17" width="13.46484375" bestFit="1" customWidth="1"/>
    <col min="18" max="18" width="11.59765625" bestFit="1" customWidth="1"/>
    <col min="19" max="20" width="15.796875" bestFit="1" customWidth="1"/>
    <col min="21" max="21" width="11.9296875" bestFit="1" customWidth="1"/>
    <col min="22" max="22" width="16.1328125" bestFit="1" customWidth="1"/>
    <col min="23" max="23" width="17.6640625" bestFit="1" customWidth="1"/>
    <col min="24" max="24" width="16.53125" bestFit="1" customWidth="1"/>
    <col min="25" max="25" width="15.3984375" bestFit="1" customWidth="1"/>
    <col min="26" max="26" width="21" bestFit="1" customWidth="1"/>
    <col min="27" max="27" width="13.73046875" style="18" bestFit="1" customWidth="1"/>
    <col min="28" max="28" width="16.265625" bestFit="1" customWidth="1"/>
    <col min="29" max="29" width="20" bestFit="1" customWidth="1"/>
    <col min="30" max="30" width="16" bestFit="1" customWidth="1"/>
    <col min="31" max="31" width="12.9296875" bestFit="1" customWidth="1"/>
    <col min="32" max="32" width="15.6640625" bestFit="1" customWidth="1"/>
    <col min="33" max="33" width="13.86328125" bestFit="1" customWidth="1"/>
    <col min="34" max="34" width="12" bestFit="1" customWidth="1"/>
    <col min="35" max="35" width="13" bestFit="1" customWidth="1"/>
    <col min="36" max="36" width="16.33203125" bestFit="1" customWidth="1"/>
    <col min="37" max="37" width="17.265625" bestFit="1" customWidth="1"/>
    <col min="38" max="38" width="18.33203125" customWidth="1"/>
  </cols>
  <sheetData>
    <row r="1" spans="1:38">
      <c r="A1" t="s">
        <v>13</v>
      </c>
      <c r="B1" t="s">
        <v>17</v>
      </c>
      <c r="C1" t="s">
        <v>14</v>
      </c>
      <c r="D1" s="13" t="s">
        <v>20</v>
      </c>
      <c r="E1" s="13" t="s">
        <v>21</v>
      </c>
      <c r="F1" t="s">
        <v>70</v>
      </c>
      <c r="G1" t="s">
        <v>71</v>
      </c>
      <c r="H1" t="s">
        <v>15</v>
      </c>
      <c r="I1" t="s">
        <v>22</v>
      </c>
      <c r="J1" t="s">
        <v>16</v>
      </c>
      <c r="K1" t="s">
        <v>23</v>
      </c>
      <c r="L1" t="s">
        <v>18</v>
      </c>
      <c r="M1" t="s">
        <v>24</v>
      </c>
      <c r="N1" t="s">
        <v>25</v>
      </c>
      <c r="O1" t="s">
        <v>72</v>
      </c>
      <c r="P1" t="s">
        <v>73</v>
      </c>
      <c r="Q1" t="s">
        <v>31</v>
      </c>
      <c r="R1" t="s">
        <v>26</v>
      </c>
      <c r="S1" t="s">
        <v>27</v>
      </c>
      <c r="T1" t="s">
        <v>28</v>
      </c>
      <c r="U1" t="s">
        <v>29</v>
      </c>
      <c r="V1" t="s">
        <v>74</v>
      </c>
      <c r="W1" t="s">
        <v>75</v>
      </c>
      <c r="X1" t="s">
        <v>76</v>
      </c>
      <c r="Y1" t="s">
        <v>95</v>
      </c>
      <c r="Z1" t="s">
        <v>96</v>
      </c>
      <c r="AA1" t="s">
        <v>77</v>
      </c>
      <c r="AB1" t="s">
        <v>78</v>
      </c>
      <c r="AC1" s="18" t="s">
        <v>79</v>
      </c>
      <c r="AD1" t="s">
        <v>80</v>
      </c>
      <c r="AE1" t="s">
        <v>81</v>
      </c>
      <c r="AF1" t="s">
        <v>97</v>
      </c>
      <c r="AG1" t="s">
        <v>98</v>
      </c>
      <c r="AH1" t="s">
        <v>99</v>
      </c>
      <c r="AI1" t="s">
        <v>104</v>
      </c>
      <c r="AJ1" t="s">
        <v>85</v>
      </c>
      <c r="AK1" t="s">
        <v>86</v>
      </c>
      <c r="AL1" t="s">
        <v>87</v>
      </c>
    </row>
    <row r="2" spans="1:38">
      <c r="A2" t="s">
        <v>62</v>
      </c>
      <c r="B2" t="s">
        <v>44</v>
      </c>
      <c r="C2">
        <v>88</v>
      </c>
      <c r="D2" s="13">
        <v>46023</v>
      </c>
      <c r="E2" s="13">
        <v>46387</v>
      </c>
      <c r="F2">
        <v>1</v>
      </c>
      <c r="G2" t="s">
        <v>47</v>
      </c>
      <c r="H2" t="s">
        <v>32</v>
      </c>
      <c r="I2" t="s">
        <v>36</v>
      </c>
      <c r="J2" t="s">
        <v>40</v>
      </c>
      <c r="K2" t="s">
        <v>45</v>
      </c>
      <c r="L2" t="s">
        <v>46</v>
      </c>
      <c r="M2">
        <v>60</v>
      </c>
      <c r="N2">
        <v>120</v>
      </c>
      <c r="O2">
        <v>1</v>
      </c>
      <c r="P2" t="s">
        <v>47</v>
      </c>
      <c r="Q2" t="s">
        <v>66</v>
      </c>
      <c r="R2">
        <v>80</v>
      </c>
      <c r="U2">
        <v>110</v>
      </c>
      <c r="V2" t="s">
        <v>47</v>
      </c>
      <c r="W2">
        <v>1</v>
      </c>
      <c r="X2">
        <v>80</v>
      </c>
      <c r="Y2">
        <v>88</v>
      </c>
      <c r="Z2">
        <v>80</v>
      </c>
      <c r="AA2" t="s">
        <v>82</v>
      </c>
      <c r="AB2">
        <v>-8</v>
      </c>
      <c r="AC2" s="18">
        <v>0.31818181818181801</v>
      </c>
      <c r="AD2" t="s">
        <v>83</v>
      </c>
      <c r="AE2">
        <v>0</v>
      </c>
      <c r="AF2">
        <v>125</v>
      </c>
      <c r="AG2" t="s">
        <v>100</v>
      </c>
      <c r="AH2">
        <v>0</v>
      </c>
      <c r="AI2">
        <v>0</v>
      </c>
      <c r="AJ2" t="s">
        <v>88</v>
      </c>
      <c r="AK2" t="s">
        <v>89</v>
      </c>
      <c r="AL2" t="s">
        <v>90</v>
      </c>
    </row>
    <row r="3" spans="1:38">
      <c r="A3" t="s">
        <v>62</v>
      </c>
      <c r="B3" t="s">
        <v>48</v>
      </c>
      <c r="C3">
        <v>150</v>
      </c>
      <c r="D3" s="13">
        <v>46023</v>
      </c>
      <c r="E3" s="13">
        <v>46387</v>
      </c>
      <c r="F3">
        <v>1</v>
      </c>
      <c r="G3" t="s">
        <v>47</v>
      </c>
      <c r="H3" t="s">
        <v>32</v>
      </c>
      <c r="I3" t="s">
        <v>36</v>
      </c>
      <c r="J3" t="s">
        <v>40</v>
      </c>
      <c r="K3" t="s">
        <v>49</v>
      </c>
      <c r="L3" t="s">
        <v>50</v>
      </c>
      <c r="M3">
        <v>90</v>
      </c>
      <c r="N3">
        <v>180</v>
      </c>
      <c r="O3">
        <v>1</v>
      </c>
      <c r="P3" t="s">
        <v>47</v>
      </c>
      <c r="Q3" t="s">
        <v>66</v>
      </c>
      <c r="R3">
        <v>140</v>
      </c>
      <c r="U3">
        <v>170</v>
      </c>
      <c r="V3" t="s">
        <v>47</v>
      </c>
      <c r="W3">
        <v>1</v>
      </c>
      <c r="X3">
        <v>140</v>
      </c>
      <c r="Y3">
        <v>150</v>
      </c>
      <c r="Z3">
        <v>140</v>
      </c>
      <c r="AA3" t="s">
        <v>82</v>
      </c>
      <c r="AB3">
        <v>-10</v>
      </c>
      <c r="AC3" s="18">
        <v>0.4</v>
      </c>
      <c r="AD3" t="s">
        <v>83</v>
      </c>
      <c r="AE3">
        <v>0</v>
      </c>
      <c r="AF3">
        <v>125</v>
      </c>
      <c r="AG3" t="s">
        <v>100</v>
      </c>
      <c r="AH3">
        <v>0</v>
      </c>
      <c r="AI3">
        <v>0</v>
      </c>
      <c r="AJ3" t="s">
        <v>91</v>
      </c>
      <c r="AK3" t="s">
        <v>89</v>
      </c>
      <c r="AL3" t="s">
        <v>90</v>
      </c>
    </row>
    <row r="4" spans="1:38">
      <c r="A4" t="s">
        <v>62</v>
      </c>
      <c r="B4" t="s">
        <v>51</v>
      </c>
      <c r="C4">
        <v>210</v>
      </c>
      <c r="D4" s="13">
        <v>46023</v>
      </c>
      <c r="E4" s="13">
        <v>46387</v>
      </c>
      <c r="F4">
        <v>1</v>
      </c>
      <c r="G4" t="s">
        <v>47</v>
      </c>
      <c r="H4" t="s">
        <v>32</v>
      </c>
      <c r="I4" t="s">
        <v>36</v>
      </c>
      <c r="J4" t="s">
        <v>40</v>
      </c>
      <c r="K4" t="s">
        <v>52</v>
      </c>
      <c r="L4" t="s">
        <v>53</v>
      </c>
      <c r="M4">
        <v>125</v>
      </c>
      <c r="N4">
        <v>250</v>
      </c>
      <c r="O4">
        <v>1</v>
      </c>
      <c r="P4" t="s">
        <v>47</v>
      </c>
      <c r="Q4" t="s">
        <v>66</v>
      </c>
      <c r="R4">
        <v>220</v>
      </c>
      <c r="U4">
        <v>230</v>
      </c>
      <c r="V4" t="s">
        <v>47</v>
      </c>
      <c r="W4">
        <v>1</v>
      </c>
      <c r="X4">
        <v>220</v>
      </c>
      <c r="Y4">
        <v>210</v>
      </c>
      <c r="Z4">
        <v>220</v>
      </c>
      <c r="AA4" t="s">
        <v>84</v>
      </c>
      <c r="AB4">
        <v>10</v>
      </c>
      <c r="AC4" s="18">
        <v>0.40476190476190499</v>
      </c>
      <c r="AD4" t="s">
        <v>83</v>
      </c>
      <c r="AE4">
        <v>1</v>
      </c>
      <c r="AF4">
        <v>125</v>
      </c>
      <c r="AG4" t="s">
        <v>100</v>
      </c>
      <c r="AH4">
        <v>0</v>
      </c>
      <c r="AI4">
        <v>0</v>
      </c>
      <c r="AJ4" t="s">
        <v>88</v>
      </c>
      <c r="AK4" t="s">
        <v>89</v>
      </c>
      <c r="AL4" t="s">
        <v>90</v>
      </c>
    </row>
    <row r="5" spans="1:38">
      <c r="A5" t="s">
        <v>62</v>
      </c>
      <c r="B5" t="s">
        <v>44</v>
      </c>
      <c r="C5">
        <v>88</v>
      </c>
      <c r="D5" s="13">
        <v>46023</v>
      </c>
      <c r="E5" s="13">
        <v>46387</v>
      </c>
      <c r="F5">
        <v>1</v>
      </c>
      <c r="G5" t="s">
        <v>47</v>
      </c>
      <c r="H5" t="s">
        <v>33</v>
      </c>
      <c r="I5" t="s">
        <v>37</v>
      </c>
      <c r="J5" t="s">
        <v>41</v>
      </c>
      <c r="K5" t="s">
        <v>45</v>
      </c>
      <c r="L5" t="s">
        <v>46</v>
      </c>
      <c r="M5">
        <v>60</v>
      </c>
      <c r="N5">
        <v>120</v>
      </c>
      <c r="O5">
        <v>1</v>
      </c>
      <c r="P5" t="s">
        <v>47</v>
      </c>
      <c r="Q5" t="s">
        <v>67</v>
      </c>
      <c r="S5">
        <v>0.8</v>
      </c>
      <c r="U5">
        <v>110</v>
      </c>
      <c r="V5" t="s">
        <v>47</v>
      </c>
      <c r="W5">
        <v>1</v>
      </c>
      <c r="X5">
        <v>96</v>
      </c>
      <c r="Y5">
        <v>88</v>
      </c>
      <c r="Z5">
        <v>96</v>
      </c>
      <c r="AA5" t="s">
        <v>84</v>
      </c>
      <c r="AB5">
        <v>8</v>
      </c>
      <c r="AC5" s="18">
        <v>0.31818181818181801</v>
      </c>
      <c r="AD5" t="s">
        <v>83</v>
      </c>
      <c r="AE5">
        <v>1</v>
      </c>
      <c r="AF5">
        <v>125</v>
      </c>
      <c r="AG5" t="s">
        <v>100</v>
      </c>
      <c r="AH5">
        <v>0</v>
      </c>
      <c r="AI5">
        <v>0</v>
      </c>
      <c r="AJ5" t="s">
        <v>88</v>
      </c>
      <c r="AK5" t="s">
        <v>89</v>
      </c>
      <c r="AL5" t="s">
        <v>90</v>
      </c>
    </row>
    <row r="6" spans="1:38">
      <c r="A6" t="s">
        <v>62</v>
      </c>
      <c r="B6" t="s">
        <v>48</v>
      </c>
      <c r="C6">
        <v>150</v>
      </c>
      <c r="D6" s="13">
        <v>46023</v>
      </c>
      <c r="E6" s="13">
        <v>46387</v>
      </c>
      <c r="F6">
        <v>1</v>
      </c>
      <c r="G6" t="s">
        <v>47</v>
      </c>
      <c r="H6" t="s">
        <v>33</v>
      </c>
      <c r="I6" t="s">
        <v>37</v>
      </c>
      <c r="J6" t="s">
        <v>41</v>
      </c>
      <c r="K6" t="s">
        <v>49</v>
      </c>
      <c r="L6" t="s">
        <v>50</v>
      </c>
      <c r="M6">
        <v>90</v>
      </c>
      <c r="N6">
        <v>180</v>
      </c>
      <c r="O6">
        <v>1</v>
      </c>
      <c r="P6" t="s">
        <v>47</v>
      </c>
      <c r="Q6" t="s">
        <v>67</v>
      </c>
      <c r="S6">
        <v>0.8</v>
      </c>
      <c r="U6">
        <v>170</v>
      </c>
      <c r="V6" t="s">
        <v>47</v>
      </c>
      <c r="W6">
        <v>1</v>
      </c>
      <c r="X6">
        <v>144</v>
      </c>
      <c r="Y6">
        <v>150</v>
      </c>
      <c r="Z6">
        <v>144</v>
      </c>
      <c r="AA6" t="s">
        <v>82</v>
      </c>
      <c r="AB6">
        <v>-6</v>
      </c>
      <c r="AC6" s="18">
        <v>0.4</v>
      </c>
      <c r="AD6" t="s">
        <v>83</v>
      </c>
      <c r="AE6">
        <v>0</v>
      </c>
      <c r="AF6">
        <v>125</v>
      </c>
      <c r="AG6" t="s">
        <v>100</v>
      </c>
      <c r="AH6">
        <v>0</v>
      </c>
      <c r="AI6">
        <v>0</v>
      </c>
      <c r="AJ6" t="s">
        <v>91</v>
      </c>
      <c r="AK6" t="s">
        <v>89</v>
      </c>
      <c r="AL6" t="s">
        <v>90</v>
      </c>
    </row>
    <row r="7" spans="1:38">
      <c r="A7" t="s">
        <v>62</v>
      </c>
      <c r="B7" t="s">
        <v>44</v>
      </c>
      <c r="C7">
        <v>88</v>
      </c>
      <c r="D7" s="13">
        <v>46023</v>
      </c>
      <c r="E7" s="13">
        <v>46387</v>
      </c>
      <c r="F7">
        <v>1</v>
      </c>
      <c r="G7" t="s">
        <v>47</v>
      </c>
      <c r="H7" t="s">
        <v>34</v>
      </c>
      <c r="I7" t="s">
        <v>38</v>
      </c>
      <c r="J7" t="s">
        <v>42</v>
      </c>
      <c r="K7" t="s">
        <v>45</v>
      </c>
      <c r="L7" t="s">
        <v>46</v>
      </c>
      <c r="M7">
        <v>60</v>
      </c>
      <c r="N7">
        <v>120</v>
      </c>
      <c r="O7">
        <v>1</v>
      </c>
      <c r="P7" t="s">
        <v>47</v>
      </c>
      <c r="Q7" t="s">
        <v>68</v>
      </c>
      <c r="T7">
        <v>0.7</v>
      </c>
      <c r="U7">
        <v>110</v>
      </c>
      <c r="V7" t="s">
        <v>47</v>
      </c>
      <c r="W7">
        <v>1</v>
      </c>
      <c r="X7">
        <v>84</v>
      </c>
      <c r="Y7">
        <v>88</v>
      </c>
      <c r="Z7">
        <v>84</v>
      </c>
      <c r="AA7" t="s">
        <v>82</v>
      </c>
      <c r="AB7">
        <v>-4</v>
      </c>
      <c r="AC7" s="18">
        <v>0.31818181818181801</v>
      </c>
      <c r="AD7" t="s">
        <v>83</v>
      </c>
      <c r="AE7">
        <v>0</v>
      </c>
      <c r="AF7">
        <v>125</v>
      </c>
      <c r="AG7" t="s">
        <v>100</v>
      </c>
      <c r="AH7">
        <v>0</v>
      </c>
      <c r="AI7">
        <v>0</v>
      </c>
      <c r="AJ7" t="s">
        <v>88</v>
      </c>
      <c r="AK7" t="s">
        <v>92</v>
      </c>
      <c r="AL7" t="s">
        <v>90</v>
      </c>
    </row>
    <row r="8" spans="1:38">
      <c r="A8" t="s">
        <v>63</v>
      </c>
      <c r="B8" t="s">
        <v>44</v>
      </c>
      <c r="C8">
        <v>105</v>
      </c>
      <c r="D8" s="13">
        <v>46054</v>
      </c>
      <c r="E8" s="13">
        <v>46234</v>
      </c>
      <c r="F8">
        <v>1</v>
      </c>
      <c r="G8" t="s">
        <v>47</v>
      </c>
      <c r="H8" t="s">
        <v>33</v>
      </c>
      <c r="I8" t="s">
        <v>37</v>
      </c>
      <c r="J8" t="s">
        <v>41</v>
      </c>
      <c r="K8" t="s">
        <v>45</v>
      </c>
      <c r="L8" t="s">
        <v>46</v>
      </c>
      <c r="M8">
        <v>60</v>
      </c>
      <c r="N8">
        <v>120</v>
      </c>
      <c r="O8">
        <v>1</v>
      </c>
      <c r="P8" t="s">
        <v>47</v>
      </c>
      <c r="Q8" t="s">
        <v>67</v>
      </c>
      <c r="S8">
        <v>0.8</v>
      </c>
      <c r="U8">
        <v>110</v>
      </c>
      <c r="V8" t="s">
        <v>47</v>
      </c>
      <c r="W8">
        <v>1</v>
      </c>
      <c r="X8">
        <v>96</v>
      </c>
      <c r="Y8">
        <v>105</v>
      </c>
      <c r="Z8">
        <v>96</v>
      </c>
      <c r="AA8" t="s">
        <v>82</v>
      </c>
      <c r="AB8">
        <v>-9</v>
      </c>
      <c r="AC8" s="18">
        <v>0.42857142857142899</v>
      </c>
      <c r="AD8" t="s">
        <v>83</v>
      </c>
      <c r="AE8">
        <v>0</v>
      </c>
      <c r="AF8">
        <v>-28</v>
      </c>
      <c r="AG8" t="s">
        <v>102</v>
      </c>
      <c r="AH8">
        <v>1</v>
      </c>
      <c r="AI8">
        <v>1</v>
      </c>
      <c r="AJ8" t="s">
        <v>91</v>
      </c>
      <c r="AK8" t="s">
        <v>92</v>
      </c>
      <c r="AL8" t="s">
        <v>93</v>
      </c>
    </row>
    <row r="9" spans="1:38">
      <c r="A9" t="s">
        <v>64</v>
      </c>
      <c r="B9" t="s">
        <v>51</v>
      </c>
      <c r="C9">
        <v>195</v>
      </c>
      <c r="D9" s="13">
        <v>46082</v>
      </c>
      <c r="E9" s="13">
        <v>46446</v>
      </c>
      <c r="F9">
        <v>1</v>
      </c>
      <c r="G9" t="s">
        <v>47</v>
      </c>
      <c r="H9" t="s">
        <v>32</v>
      </c>
      <c r="I9" t="s">
        <v>36</v>
      </c>
      <c r="J9" t="s">
        <v>40</v>
      </c>
      <c r="K9" t="s">
        <v>52</v>
      </c>
      <c r="L9" t="s">
        <v>53</v>
      </c>
      <c r="M9">
        <v>125</v>
      </c>
      <c r="N9">
        <v>250</v>
      </c>
      <c r="O9">
        <v>1</v>
      </c>
      <c r="P9" t="s">
        <v>47</v>
      </c>
      <c r="Q9" t="s">
        <v>66</v>
      </c>
      <c r="R9">
        <v>220</v>
      </c>
      <c r="U9">
        <v>230</v>
      </c>
      <c r="V9" t="s">
        <v>47</v>
      </c>
      <c r="W9">
        <v>1</v>
      </c>
      <c r="X9">
        <v>220</v>
      </c>
      <c r="Y9">
        <v>195</v>
      </c>
      <c r="Z9">
        <v>220</v>
      </c>
      <c r="AA9" t="s">
        <v>84</v>
      </c>
      <c r="AB9">
        <v>25</v>
      </c>
      <c r="AC9" s="18">
        <v>0.35897435897435898</v>
      </c>
      <c r="AD9" t="s">
        <v>83</v>
      </c>
      <c r="AE9">
        <v>1</v>
      </c>
      <c r="AF9">
        <v>184</v>
      </c>
      <c r="AG9" t="s">
        <v>100</v>
      </c>
      <c r="AH9">
        <v>0</v>
      </c>
      <c r="AI9">
        <v>0</v>
      </c>
      <c r="AJ9" t="s">
        <v>88</v>
      </c>
      <c r="AK9" t="s">
        <v>89</v>
      </c>
      <c r="AL9" t="s">
        <v>94</v>
      </c>
    </row>
    <row r="10" spans="1:38">
      <c r="A10" t="s">
        <v>62</v>
      </c>
      <c r="B10" t="s">
        <v>54</v>
      </c>
      <c r="C10">
        <v>13500</v>
      </c>
      <c r="D10" s="13">
        <v>46023</v>
      </c>
      <c r="E10" s="13">
        <v>46387</v>
      </c>
      <c r="F10">
        <v>100</v>
      </c>
      <c r="G10" t="s">
        <v>47</v>
      </c>
      <c r="H10" t="s">
        <v>32</v>
      </c>
      <c r="I10" t="s">
        <v>36</v>
      </c>
      <c r="J10" t="s">
        <v>40</v>
      </c>
      <c r="K10" t="s">
        <v>55</v>
      </c>
      <c r="L10" t="s">
        <v>56</v>
      </c>
      <c r="M10">
        <v>75</v>
      </c>
      <c r="N10">
        <v>15000</v>
      </c>
      <c r="O10">
        <v>100</v>
      </c>
      <c r="P10" t="s">
        <v>47</v>
      </c>
      <c r="Q10" t="s">
        <v>67</v>
      </c>
      <c r="S10">
        <v>0.95</v>
      </c>
      <c r="U10">
        <v>145</v>
      </c>
      <c r="V10" t="s">
        <v>47</v>
      </c>
      <c r="W10">
        <v>1</v>
      </c>
      <c r="X10">
        <v>14250</v>
      </c>
      <c r="Y10">
        <v>135</v>
      </c>
      <c r="Z10">
        <v>142.5</v>
      </c>
      <c r="AA10" t="s">
        <v>84</v>
      </c>
      <c r="AB10">
        <v>7.5</v>
      </c>
      <c r="AC10" s="18">
        <v>0.44444444444444398</v>
      </c>
      <c r="AD10" t="s">
        <v>83</v>
      </c>
      <c r="AE10">
        <v>1</v>
      </c>
      <c r="AF10">
        <v>125</v>
      </c>
      <c r="AG10" t="s">
        <v>100</v>
      </c>
      <c r="AH10">
        <v>0</v>
      </c>
      <c r="AI10">
        <v>0</v>
      </c>
      <c r="AJ10" t="s">
        <v>88</v>
      </c>
      <c r="AK10" t="s">
        <v>89</v>
      </c>
      <c r="AL10" t="s">
        <v>90</v>
      </c>
    </row>
    <row r="11" spans="1:38">
      <c r="A11" t="s">
        <v>64</v>
      </c>
      <c r="B11" t="s">
        <v>60</v>
      </c>
      <c r="C11">
        <v>170</v>
      </c>
      <c r="D11" s="13">
        <v>46082</v>
      </c>
      <c r="E11" s="13">
        <v>46446</v>
      </c>
      <c r="F11">
        <v>1</v>
      </c>
      <c r="G11" t="s">
        <v>47</v>
      </c>
      <c r="H11" t="s">
        <v>32</v>
      </c>
      <c r="I11" t="s">
        <v>36</v>
      </c>
      <c r="J11" t="s">
        <v>40</v>
      </c>
      <c r="K11" t="s">
        <v>61</v>
      </c>
      <c r="L11" t="s">
        <v>53</v>
      </c>
      <c r="M11">
        <v>180</v>
      </c>
      <c r="N11">
        <v>200</v>
      </c>
      <c r="O11">
        <v>1</v>
      </c>
      <c r="P11" t="s">
        <v>47</v>
      </c>
      <c r="Q11" t="s">
        <v>67</v>
      </c>
      <c r="S11">
        <v>0.9</v>
      </c>
      <c r="U11">
        <v>195</v>
      </c>
      <c r="V11" t="s">
        <v>47</v>
      </c>
      <c r="W11">
        <v>1</v>
      </c>
      <c r="X11">
        <v>180</v>
      </c>
      <c r="Y11">
        <v>170</v>
      </c>
      <c r="Z11">
        <v>180</v>
      </c>
      <c r="AA11" t="s">
        <v>84</v>
      </c>
      <c r="AB11">
        <v>10</v>
      </c>
      <c r="AC11" s="18">
        <v>-5.8823529411764698E-2</v>
      </c>
      <c r="AD11" t="s">
        <v>103</v>
      </c>
      <c r="AE11">
        <v>1</v>
      </c>
      <c r="AF11">
        <v>184</v>
      </c>
      <c r="AG11" t="s">
        <v>100</v>
      </c>
      <c r="AH11">
        <v>0</v>
      </c>
      <c r="AI11">
        <v>1</v>
      </c>
      <c r="AJ11" t="s">
        <v>88</v>
      </c>
      <c r="AK11" t="s">
        <v>89</v>
      </c>
      <c r="AL11" t="s">
        <v>94</v>
      </c>
    </row>
    <row r="12" spans="1:38">
      <c r="A12" t="s">
        <v>62</v>
      </c>
      <c r="B12" t="s">
        <v>48</v>
      </c>
      <c r="C12">
        <v>150</v>
      </c>
      <c r="D12" s="13">
        <v>46023</v>
      </c>
      <c r="E12" s="13">
        <v>46387</v>
      </c>
      <c r="F12">
        <v>1</v>
      </c>
      <c r="G12" t="s">
        <v>47</v>
      </c>
      <c r="H12" t="s">
        <v>34</v>
      </c>
      <c r="I12" t="s">
        <v>38</v>
      </c>
      <c r="J12" t="s">
        <v>42</v>
      </c>
      <c r="K12" t="s">
        <v>49</v>
      </c>
      <c r="L12" t="s">
        <v>50</v>
      </c>
      <c r="M12">
        <v>90</v>
      </c>
      <c r="N12">
        <v>180</v>
      </c>
      <c r="O12">
        <v>1</v>
      </c>
      <c r="P12" t="s">
        <v>47</v>
      </c>
      <c r="Q12" t="s">
        <v>68</v>
      </c>
      <c r="T12">
        <v>0.8</v>
      </c>
      <c r="U12">
        <v>170</v>
      </c>
      <c r="V12" t="s">
        <v>47</v>
      </c>
      <c r="W12">
        <v>1</v>
      </c>
      <c r="X12">
        <v>144</v>
      </c>
      <c r="Y12">
        <v>150</v>
      </c>
      <c r="Z12">
        <v>144</v>
      </c>
      <c r="AA12" t="s">
        <v>82</v>
      </c>
      <c r="AB12">
        <v>-6</v>
      </c>
      <c r="AC12" s="18">
        <v>0.4</v>
      </c>
      <c r="AD12" t="s">
        <v>83</v>
      </c>
      <c r="AE12">
        <v>0</v>
      </c>
      <c r="AF12">
        <v>125</v>
      </c>
      <c r="AG12" t="s">
        <v>100</v>
      </c>
      <c r="AH12">
        <v>0</v>
      </c>
      <c r="AI12">
        <v>0</v>
      </c>
      <c r="AJ12" t="s">
        <v>91</v>
      </c>
      <c r="AK12" t="s">
        <v>92</v>
      </c>
      <c r="AL12" t="s">
        <v>90</v>
      </c>
    </row>
    <row r="13" spans="1:38">
      <c r="A13" t="s">
        <v>62</v>
      </c>
      <c r="B13" t="s">
        <v>51</v>
      </c>
      <c r="C13">
        <v>210</v>
      </c>
      <c r="D13" s="13">
        <v>46023</v>
      </c>
      <c r="E13" s="13">
        <v>46387</v>
      </c>
      <c r="F13">
        <v>1</v>
      </c>
      <c r="G13" t="s">
        <v>47</v>
      </c>
      <c r="H13" t="s">
        <v>33</v>
      </c>
      <c r="I13" t="s">
        <v>37</v>
      </c>
      <c r="J13" t="s">
        <v>41</v>
      </c>
      <c r="K13" t="s">
        <v>52</v>
      </c>
      <c r="L13" t="s">
        <v>53</v>
      </c>
      <c r="M13">
        <v>125</v>
      </c>
      <c r="N13">
        <v>250</v>
      </c>
      <c r="O13">
        <v>1</v>
      </c>
      <c r="P13" t="s">
        <v>47</v>
      </c>
      <c r="Q13" t="s">
        <v>68</v>
      </c>
      <c r="T13">
        <v>0.88</v>
      </c>
      <c r="U13">
        <v>230</v>
      </c>
      <c r="V13" t="s">
        <v>47</v>
      </c>
      <c r="W13">
        <v>1</v>
      </c>
      <c r="X13">
        <v>220</v>
      </c>
      <c r="Y13">
        <v>210</v>
      </c>
      <c r="Z13">
        <v>220</v>
      </c>
      <c r="AA13" t="s">
        <v>84</v>
      </c>
      <c r="AB13">
        <v>10</v>
      </c>
      <c r="AC13" s="18">
        <v>0.40476190476190499</v>
      </c>
      <c r="AD13" t="s">
        <v>83</v>
      </c>
      <c r="AE13">
        <v>1</v>
      </c>
      <c r="AF13">
        <v>125</v>
      </c>
      <c r="AG13" t="s">
        <v>100</v>
      </c>
      <c r="AH13">
        <v>0</v>
      </c>
      <c r="AI13">
        <v>0</v>
      </c>
      <c r="AJ13" t="s">
        <v>88</v>
      </c>
      <c r="AK13" t="s">
        <v>89</v>
      </c>
      <c r="AL13" t="s">
        <v>90</v>
      </c>
    </row>
    <row r="14" spans="1:38">
      <c r="A14" t="s">
        <v>62</v>
      </c>
      <c r="B14" t="s">
        <v>51</v>
      </c>
      <c r="C14">
        <v>210</v>
      </c>
      <c r="D14" s="13">
        <v>46023</v>
      </c>
      <c r="E14" s="13">
        <v>46387</v>
      </c>
      <c r="F14">
        <v>1</v>
      </c>
      <c r="G14" t="s">
        <v>47</v>
      </c>
      <c r="H14" t="s">
        <v>34</v>
      </c>
      <c r="I14" t="s">
        <v>38</v>
      </c>
      <c r="J14" t="s">
        <v>42</v>
      </c>
      <c r="K14" t="s">
        <v>52</v>
      </c>
      <c r="L14" t="s">
        <v>53</v>
      </c>
      <c r="M14">
        <v>125</v>
      </c>
      <c r="N14">
        <v>250</v>
      </c>
      <c r="O14">
        <v>1</v>
      </c>
      <c r="P14" t="s">
        <v>47</v>
      </c>
      <c r="Q14" t="s">
        <v>67</v>
      </c>
      <c r="S14">
        <v>0.8</v>
      </c>
      <c r="U14">
        <v>230</v>
      </c>
      <c r="V14" t="s">
        <v>47</v>
      </c>
      <c r="W14">
        <v>1</v>
      </c>
      <c r="X14">
        <v>200</v>
      </c>
      <c r="Y14">
        <v>210</v>
      </c>
      <c r="Z14">
        <v>200</v>
      </c>
      <c r="AA14" t="s">
        <v>82</v>
      </c>
      <c r="AB14">
        <v>-10</v>
      </c>
      <c r="AC14" s="18">
        <v>0.40476190476190499</v>
      </c>
      <c r="AD14" t="s">
        <v>83</v>
      </c>
      <c r="AE14">
        <v>0</v>
      </c>
      <c r="AF14">
        <v>125</v>
      </c>
      <c r="AG14" t="s">
        <v>100</v>
      </c>
      <c r="AH14">
        <v>0</v>
      </c>
      <c r="AI14">
        <v>0</v>
      </c>
      <c r="AJ14" t="s">
        <v>88</v>
      </c>
      <c r="AK14" t="s">
        <v>92</v>
      </c>
      <c r="AL14" t="s">
        <v>90</v>
      </c>
    </row>
    <row r="15" spans="1:38">
      <c r="A15" t="s">
        <v>62</v>
      </c>
      <c r="B15" t="s">
        <v>54</v>
      </c>
      <c r="C15">
        <v>13500</v>
      </c>
      <c r="D15" s="13">
        <v>46023</v>
      </c>
      <c r="E15" s="13">
        <v>46387</v>
      </c>
      <c r="F15">
        <v>100</v>
      </c>
      <c r="G15" t="s">
        <v>47</v>
      </c>
      <c r="H15" t="s">
        <v>33</v>
      </c>
      <c r="I15" t="s">
        <v>37</v>
      </c>
      <c r="J15" t="s">
        <v>41</v>
      </c>
      <c r="K15" t="s">
        <v>55</v>
      </c>
      <c r="L15" t="s">
        <v>56</v>
      </c>
      <c r="M15">
        <v>75</v>
      </c>
      <c r="N15">
        <v>15000</v>
      </c>
      <c r="O15">
        <v>100</v>
      </c>
      <c r="P15" t="s">
        <v>47</v>
      </c>
      <c r="Q15" t="s">
        <v>66</v>
      </c>
      <c r="R15">
        <v>130</v>
      </c>
      <c r="U15">
        <v>145</v>
      </c>
      <c r="V15" t="s">
        <v>47</v>
      </c>
      <c r="W15">
        <v>1</v>
      </c>
      <c r="X15">
        <v>130</v>
      </c>
      <c r="Y15">
        <v>135</v>
      </c>
      <c r="Z15">
        <v>130</v>
      </c>
      <c r="AA15" t="s">
        <v>82</v>
      </c>
      <c r="AB15">
        <v>-5</v>
      </c>
      <c r="AC15" s="18">
        <v>0.44444444444444398</v>
      </c>
      <c r="AD15" t="s">
        <v>83</v>
      </c>
      <c r="AE15">
        <v>0</v>
      </c>
      <c r="AF15">
        <v>125</v>
      </c>
      <c r="AG15" t="s">
        <v>100</v>
      </c>
      <c r="AH15">
        <v>0</v>
      </c>
      <c r="AI15">
        <v>0</v>
      </c>
      <c r="AJ15" t="s">
        <v>88</v>
      </c>
      <c r="AK15" t="s">
        <v>89</v>
      </c>
      <c r="AL15" t="s">
        <v>90</v>
      </c>
    </row>
    <row r="16" spans="1:38">
      <c r="A16" t="s">
        <v>63</v>
      </c>
      <c r="B16" t="s">
        <v>57</v>
      </c>
      <c r="C16">
        <v>85</v>
      </c>
      <c r="D16" s="13">
        <v>46054</v>
      </c>
      <c r="E16" s="13">
        <v>46234</v>
      </c>
      <c r="F16">
        <v>1</v>
      </c>
      <c r="G16" t="s">
        <v>47</v>
      </c>
      <c r="H16" t="s">
        <v>33</v>
      </c>
      <c r="I16" t="s">
        <v>37</v>
      </c>
      <c r="J16" t="s">
        <v>41</v>
      </c>
      <c r="K16" t="s">
        <v>58</v>
      </c>
      <c r="L16" t="s">
        <v>59</v>
      </c>
      <c r="M16">
        <v>45</v>
      </c>
      <c r="N16">
        <v>90</v>
      </c>
      <c r="O16">
        <v>1</v>
      </c>
      <c r="P16" t="s">
        <v>47</v>
      </c>
      <c r="Q16" t="s">
        <v>68</v>
      </c>
      <c r="T16">
        <v>0.9</v>
      </c>
      <c r="U16">
        <v>85</v>
      </c>
      <c r="V16" t="s">
        <v>47</v>
      </c>
      <c r="W16">
        <v>1</v>
      </c>
      <c r="X16">
        <v>81</v>
      </c>
      <c r="Y16">
        <v>85</v>
      </c>
      <c r="Z16">
        <v>81</v>
      </c>
      <c r="AA16" t="s">
        <v>82</v>
      </c>
      <c r="AB16">
        <v>-4</v>
      </c>
      <c r="AC16" s="18">
        <v>0.47058823529411797</v>
      </c>
      <c r="AD16" t="s">
        <v>83</v>
      </c>
      <c r="AE16">
        <v>0</v>
      </c>
      <c r="AF16">
        <v>-28</v>
      </c>
      <c r="AG16" t="s">
        <v>102</v>
      </c>
      <c r="AH16">
        <v>1</v>
      </c>
      <c r="AI16">
        <v>1</v>
      </c>
      <c r="AJ16" t="s">
        <v>91</v>
      </c>
      <c r="AK16" t="s">
        <v>92</v>
      </c>
      <c r="AL16" t="s">
        <v>93</v>
      </c>
    </row>
    <row r="17" spans="1:38">
      <c r="A17" t="s">
        <v>62</v>
      </c>
      <c r="B17" t="s">
        <v>54</v>
      </c>
      <c r="C17">
        <v>13500</v>
      </c>
      <c r="D17" s="13">
        <v>46023</v>
      </c>
      <c r="E17" s="13">
        <v>46387</v>
      </c>
      <c r="F17">
        <v>100</v>
      </c>
      <c r="G17" t="s">
        <v>47</v>
      </c>
      <c r="H17" t="s">
        <v>34</v>
      </c>
      <c r="I17" t="s">
        <v>38</v>
      </c>
      <c r="J17" t="s">
        <v>42</v>
      </c>
      <c r="K17" t="s">
        <v>55</v>
      </c>
      <c r="L17" t="s">
        <v>56</v>
      </c>
      <c r="M17">
        <v>75</v>
      </c>
      <c r="N17">
        <v>15000</v>
      </c>
      <c r="O17">
        <v>100</v>
      </c>
      <c r="P17" t="s">
        <v>47</v>
      </c>
      <c r="Q17" t="s">
        <v>67</v>
      </c>
      <c r="S17">
        <v>0.8</v>
      </c>
      <c r="U17">
        <v>145</v>
      </c>
      <c r="V17" t="s">
        <v>47</v>
      </c>
      <c r="W17">
        <v>1</v>
      </c>
      <c r="X17">
        <v>12000</v>
      </c>
      <c r="Y17">
        <v>135</v>
      </c>
      <c r="Z17">
        <v>120</v>
      </c>
      <c r="AA17" t="s">
        <v>82</v>
      </c>
      <c r="AB17">
        <v>-15</v>
      </c>
      <c r="AC17" s="18">
        <v>0.44444444444444398</v>
      </c>
      <c r="AD17" t="s">
        <v>83</v>
      </c>
      <c r="AE17">
        <v>0</v>
      </c>
      <c r="AF17">
        <v>125</v>
      </c>
      <c r="AG17" t="s">
        <v>100</v>
      </c>
      <c r="AH17">
        <v>0</v>
      </c>
      <c r="AI17">
        <v>0</v>
      </c>
      <c r="AJ17" t="s">
        <v>88</v>
      </c>
      <c r="AK17" t="s">
        <v>92</v>
      </c>
      <c r="AL17" t="s">
        <v>90</v>
      </c>
    </row>
    <row r="18" spans="1:38">
      <c r="A18" t="s">
        <v>63</v>
      </c>
      <c r="B18" t="s">
        <v>44</v>
      </c>
      <c r="C18">
        <v>105</v>
      </c>
      <c r="D18" s="13">
        <v>46054</v>
      </c>
      <c r="E18" s="13">
        <v>46234</v>
      </c>
      <c r="F18">
        <v>1</v>
      </c>
      <c r="G18" t="s">
        <v>47</v>
      </c>
      <c r="H18" t="s">
        <v>35</v>
      </c>
      <c r="I18" t="s">
        <v>39</v>
      </c>
      <c r="J18" t="s">
        <v>43</v>
      </c>
      <c r="K18" t="s">
        <v>45</v>
      </c>
      <c r="L18" t="s">
        <v>46</v>
      </c>
      <c r="M18">
        <v>60</v>
      </c>
      <c r="N18">
        <v>120</v>
      </c>
      <c r="O18">
        <v>1</v>
      </c>
      <c r="P18" t="s">
        <v>47</v>
      </c>
      <c r="Q18" t="s">
        <v>66</v>
      </c>
      <c r="R18">
        <v>100</v>
      </c>
      <c r="U18">
        <v>110</v>
      </c>
      <c r="V18" t="s">
        <v>47</v>
      </c>
      <c r="W18">
        <v>1</v>
      </c>
      <c r="X18">
        <v>100</v>
      </c>
      <c r="Y18">
        <v>105</v>
      </c>
      <c r="Z18">
        <v>100</v>
      </c>
      <c r="AA18" t="s">
        <v>82</v>
      </c>
      <c r="AB18">
        <v>-5</v>
      </c>
      <c r="AC18" s="18">
        <v>0.42857142857142899</v>
      </c>
      <c r="AD18" t="s">
        <v>83</v>
      </c>
      <c r="AE18">
        <v>0</v>
      </c>
      <c r="AF18">
        <v>-28</v>
      </c>
      <c r="AG18" t="s">
        <v>102</v>
      </c>
      <c r="AH18">
        <v>1</v>
      </c>
      <c r="AI18">
        <v>1</v>
      </c>
      <c r="AJ18" t="s">
        <v>91</v>
      </c>
      <c r="AK18" t="s">
        <v>92</v>
      </c>
      <c r="AL18" t="s">
        <v>93</v>
      </c>
    </row>
    <row r="19" spans="1:38">
      <c r="A19" t="s">
        <v>63</v>
      </c>
      <c r="B19" t="s">
        <v>57</v>
      </c>
      <c r="C19">
        <v>85</v>
      </c>
      <c r="D19" s="13">
        <v>46054</v>
      </c>
      <c r="E19" s="13">
        <v>46234</v>
      </c>
      <c r="F19">
        <v>1</v>
      </c>
      <c r="G19" t="s">
        <v>47</v>
      </c>
      <c r="H19" t="s">
        <v>35</v>
      </c>
      <c r="I19" t="s">
        <v>39</v>
      </c>
      <c r="J19" t="s">
        <v>43</v>
      </c>
      <c r="K19" t="s">
        <v>58</v>
      </c>
      <c r="L19" t="s">
        <v>59</v>
      </c>
      <c r="M19">
        <v>45</v>
      </c>
      <c r="N19">
        <v>90</v>
      </c>
      <c r="O19">
        <v>1</v>
      </c>
      <c r="P19" t="s">
        <v>47</v>
      </c>
      <c r="Q19" t="s">
        <v>67</v>
      </c>
      <c r="S19">
        <v>0.88</v>
      </c>
      <c r="U19">
        <v>85</v>
      </c>
      <c r="V19" t="s">
        <v>47</v>
      </c>
      <c r="W19">
        <v>1</v>
      </c>
      <c r="X19">
        <v>79.2</v>
      </c>
      <c r="Y19">
        <v>85</v>
      </c>
      <c r="Z19">
        <v>79.2</v>
      </c>
      <c r="AA19" t="s">
        <v>82</v>
      </c>
      <c r="AB19">
        <v>-5.7999999999999972</v>
      </c>
      <c r="AC19" s="18">
        <v>0.47058823529411797</v>
      </c>
      <c r="AD19" t="s">
        <v>83</v>
      </c>
      <c r="AE19">
        <v>0</v>
      </c>
      <c r="AF19">
        <v>-28</v>
      </c>
      <c r="AG19" t="s">
        <v>102</v>
      </c>
      <c r="AH19">
        <v>1</v>
      </c>
      <c r="AI19">
        <v>1</v>
      </c>
      <c r="AJ19" t="s">
        <v>91</v>
      </c>
      <c r="AK19" t="s">
        <v>92</v>
      </c>
      <c r="AL19" t="s">
        <v>93</v>
      </c>
    </row>
    <row r="20" spans="1:38">
      <c r="A20" t="s">
        <v>64</v>
      </c>
      <c r="B20" t="s">
        <v>51</v>
      </c>
      <c r="C20">
        <v>195</v>
      </c>
      <c r="D20" s="13">
        <v>46082</v>
      </c>
      <c r="E20" s="13">
        <v>46446</v>
      </c>
      <c r="F20">
        <v>1</v>
      </c>
      <c r="G20" t="s">
        <v>47</v>
      </c>
      <c r="H20" t="s">
        <v>35</v>
      </c>
      <c r="I20" t="s">
        <v>39</v>
      </c>
      <c r="J20" t="s">
        <v>43</v>
      </c>
      <c r="K20" t="s">
        <v>52</v>
      </c>
      <c r="L20" t="s">
        <v>53</v>
      </c>
      <c r="M20">
        <v>125</v>
      </c>
      <c r="N20">
        <v>250</v>
      </c>
      <c r="O20">
        <v>1</v>
      </c>
      <c r="P20" t="s">
        <v>47</v>
      </c>
      <c r="Q20" t="s">
        <v>69</v>
      </c>
      <c r="U20">
        <v>230</v>
      </c>
      <c r="V20" t="s">
        <v>47</v>
      </c>
      <c r="W20">
        <v>1</v>
      </c>
      <c r="X20">
        <v>230</v>
      </c>
      <c r="Y20">
        <v>195</v>
      </c>
      <c r="Z20">
        <v>230</v>
      </c>
      <c r="AA20" t="s">
        <v>84</v>
      </c>
      <c r="AB20">
        <v>35</v>
      </c>
      <c r="AC20" s="18">
        <v>0.35897435897435898</v>
      </c>
      <c r="AD20" t="s">
        <v>83</v>
      </c>
      <c r="AE20">
        <v>1</v>
      </c>
      <c r="AF20">
        <v>184</v>
      </c>
      <c r="AG20" t="s">
        <v>100</v>
      </c>
      <c r="AH20">
        <v>0</v>
      </c>
      <c r="AI20">
        <v>0</v>
      </c>
      <c r="AJ20" t="s">
        <v>88</v>
      </c>
      <c r="AK20" t="s">
        <v>89</v>
      </c>
      <c r="AL20" t="s">
        <v>94</v>
      </c>
    </row>
    <row r="21" spans="1:38">
      <c r="A21" t="s">
        <v>64</v>
      </c>
      <c r="B21" t="s">
        <v>60</v>
      </c>
      <c r="C21">
        <v>170</v>
      </c>
      <c r="D21" s="13">
        <v>46082</v>
      </c>
      <c r="E21" s="13">
        <v>46446</v>
      </c>
      <c r="F21">
        <v>1</v>
      </c>
      <c r="G21" t="s">
        <v>47</v>
      </c>
      <c r="H21" t="s">
        <v>35</v>
      </c>
      <c r="I21" t="s">
        <v>39</v>
      </c>
      <c r="J21" t="s">
        <v>43</v>
      </c>
      <c r="K21" t="s">
        <v>61</v>
      </c>
      <c r="L21" t="s">
        <v>53</v>
      </c>
      <c r="M21">
        <v>180</v>
      </c>
      <c r="N21">
        <v>200</v>
      </c>
      <c r="O21">
        <v>1</v>
      </c>
      <c r="P21" t="s">
        <v>47</v>
      </c>
      <c r="Q21" t="s">
        <v>69</v>
      </c>
      <c r="U21">
        <v>195</v>
      </c>
      <c r="V21" t="s">
        <v>47</v>
      </c>
      <c r="W21">
        <v>1</v>
      </c>
      <c r="X21">
        <v>195</v>
      </c>
      <c r="Y21">
        <v>170</v>
      </c>
      <c r="Z21">
        <v>195</v>
      </c>
      <c r="AA21" t="s">
        <v>84</v>
      </c>
      <c r="AB21">
        <v>25</v>
      </c>
      <c r="AC21" s="18">
        <v>-5.8823529411764698E-2</v>
      </c>
      <c r="AD21" t="s">
        <v>103</v>
      </c>
      <c r="AE21">
        <v>1</v>
      </c>
      <c r="AF21">
        <v>184</v>
      </c>
      <c r="AG21" t="s">
        <v>100</v>
      </c>
      <c r="AH21">
        <v>0</v>
      </c>
      <c r="AI21">
        <v>1</v>
      </c>
      <c r="AJ21" t="s">
        <v>88</v>
      </c>
      <c r="AK21" t="s">
        <v>89</v>
      </c>
      <c r="AL21" t="s">
        <v>94</v>
      </c>
    </row>
  </sheetData>
  <phoneticPr fontId="6"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01D50FF-29B8-4A66-AB5C-A70465CF1E6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READ ME Business Rules</vt:lpstr>
      <vt:lpstr>tbl_SPA_Lines</vt:lpstr>
      <vt:lpstr>spa_lines</vt:lpstr>
      <vt:lpstr>tbl_SPA_Customers</vt:lpstr>
      <vt:lpstr>SPA Customers</vt:lpstr>
      <vt:lpstr>tbl_Customer_Master</vt:lpstr>
      <vt:lpstr>Customer Master</vt:lpstr>
      <vt:lpstr>tbl_Material_Master</vt:lpstr>
      <vt:lpstr>Material Master</vt:lpstr>
      <vt:lpstr>tbl_Customer_Pricing</vt:lpstr>
      <vt:lpstr>Customer Pricing</vt:lpstr>
      <vt:lpstr>Analysis Base</vt:lpstr>
      <vt:lpstr>Agreement Summary</vt:lpstr>
      <vt:lpstr>Dashboard</vt:lpstr>
      <vt:lpstr>Final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Rami Fadel</cp:lastModifiedBy>
  <dcterms:created xsi:type="dcterms:W3CDTF">2026-08-28T17:38:42Z</dcterms:created>
  <dcterms:modified xsi:type="dcterms:W3CDTF">2026-09-02T02:29:53Z</dcterms:modified>
</cp:coreProperties>
</file>